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QR\Desktop\ffm\excel\"/>
    </mc:Choice>
  </mc:AlternateContent>
  <xr:revisionPtr revIDLastSave="0" documentId="13_ncr:1_{2164D69B-228C-48AA-89ED-3F0D118D8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 hợp thu hồi" sheetId="5" r:id="rId1"/>
    <sheet name="Report" sheetId="11" r:id="rId2"/>
    <sheet name="Dang_le" sheetId="7" state="hidden" r:id="rId3"/>
  </sheets>
  <externalReferences>
    <externalReference r:id="rId4"/>
  </externalReferences>
  <definedNames>
    <definedName name="_xlnm._FilterDatabase" localSheetId="2" hidden="1">Dang_le!$A$1:$K$184</definedName>
    <definedName name="_xlnm._FilterDatabase" localSheetId="0" hidden="1">'Tổng hợp thu hồi'!$A$1:$R$557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ổng hợp thu hồi!$A$3:$Q$55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0" i="5" l="1"/>
  <c r="F270" i="5" s="1"/>
  <c r="I270" i="5"/>
  <c r="L270" i="5"/>
  <c r="N270" i="5" s="1"/>
  <c r="O270" i="5" s="1"/>
  <c r="E271" i="5"/>
  <c r="F271" i="5" s="1"/>
  <c r="I271" i="5"/>
  <c r="L271" i="5"/>
  <c r="N271" i="5" s="1"/>
  <c r="O271" i="5" s="1"/>
  <c r="E272" i="5"/>
  <c r="F272" i="5" s="1"/>
  <c r="I272" i="5"/>
  <c r="L272" i="5"/>
  <c r="N272" i="5" s="1"/>
  <c r="O272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41" i="5"/>
  <c r="F342" i="5"/>
  <c r="F343" i="5"/>
  <c r="F344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2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N557" i="5"/>
  <c r="E557" i="5"/>
  <c r="F557" i="5" s="1"/>
  <c r="N556" i="5"/>
  <c r="E556" i="5"/>
  <c r="F556" i="5" s="1"/>
  <c r="N555" i="5"/>
  <c r="E555" i="5"/>
  <c r="F555" i="5" s="1"/>
  <c r="N554" i="5"/>
  <c r="E554" i="5"/>
  <c r="F554" i="5" s="1"/>
  <c r="N553" i="5"/>
  <c r="E553" i="5"/>
  <c r="F553" i="5" s="1"/>
  <c r="N552" i="5"/>
  <c r="E552" i="5"/>
  <c r="F552" i="5" s="1"/>
  <c r="N551" i="5"/>
  <c r="E551" i="5"/>
  <c r="F551" i="5" s="1"/>
  <c r="N550" i="5"/>
  <c r="E550" i="5"/>
  <c r="F550" i="5" s="1"/>
  <c r="N549" i="5"/>
  <c r="E549" i="5"/>
  <c r="F549" i="5" s="1"/>
  <c r="N548" i="5"/>
  <c r="E548" i="5"/>
  <c r="F548" i="5" s="1"/>
  <c r="N547" i="5"/>
  <c r="E547" i="5"/>
  <c r="F547" i="5" s="1"/>
  <c r="N546" i="5"/>
  <c r="E546" i="5"/>
  <c r="F546" i="5" s="1"/>
  <c r="N545" i="5"/>
  <c r="E545" i="5"/>
  <c r="F545" i="5" s="1"/>
  <c r="N544" i="5"/>
  <c r="E544" i="5"/>
  <c r="F544" i="5" s="1"/>
  <c r="N543" i="5"/>
  <c r="E543" i="5"/>
  <c r="F543" i="5" s="1"/>
  <c r="N542" i="5"/>
  <c r="E542" i="5"/>
  <c r="F542" i="5" s="1"/>
  <c r="N541" i="5"/>
  <c r="E541" i="5"/>
  <c r="F541" i="5" s="1"/>
  <c r="N540" i="5"/>
  <c r="E540" i="5"/>
  <c r="F540" i="5" s="1"/>
  <c r="N539" i="5"/>
  <c r="E539" i="5"/>
  <c r="F539" i="5" s="1"/>
  <c r="N538" i="5"/>
  <c r="E538" i="5"/>
  <c r="F538" i="5" s="1"/>
  <c r="N537" i="5"/>
  <c r="E537" i="5"/>
  <c r="F537" i="5" s="1"/>
  <c r="N536" i="5"/>
  <c r="E536" i="5"/>
  <c r="F536" i="5" s="1"/>
  <c r="N535" i="5"/>
  <c r="E535" i="5"/>
  <c r="F535" i="5" s="1"/>
  <c r="N534" i="5"/>
  <c r="E534" i="5"/>
  <c r="F534" i="5" s="1"/>
  <c r="N533" i="5"/>
  <c r="E533" i="5"/>
  <c r="F533" i="5" s="1"/>
  <c r="N532" i="5"/>
  <c r="E532" i="5"/>
  <c r="F532" i="5" s="1"/>
  <c r="N531" i="5"/>
  <c r="E531" i="5"/>
  <c r="F531" i="5" s="1"/>
  <c r="N530" i="5"/>
  <c r="E530" i="5"/>
  <c r="F530" i="5" s="1"/>
  <c r="N529" i="5"/>
  <c r="E529" i="5"/>
  <c r="F529" i="5" s="1"/>
  <c r="N528" i="5"/>
  <c r="E528" i="5"/>
  <c r="F528" i="5" s="1"/>
  <c r="N527" i="5"/>
  <c r="E527" i="5"/>
  <c r="F527" i="5" s="1"/>
  <c r="N526" i="5"/>
  <c r="E526" i="5"/>
  <c r="F526" i="5" s="1"/>
  <c r="N525" i="5"/>
  <c r="E525" i="5"/>
  <c r="F525" i="5" s="1"/>
  <c r="N524" i="5"/>
  <c r="E524" i="5"/>
  <c r="F524" i="5" s="1"/>
  <c r="N523" i="5"/>
  <c r="E523" i="5"/>
  <c r="F523" i="5" s="1"/>
  <c r="N522" i="5"/>
  <c r="E522" i="5"/>
  <c r="F522" i="5" s="1"/>
  <c r="N521" i="5"/>
  <c r="E521" i="5"/>
  <c r="F521" i="5" s="1"/>
  <c r="N520" i="5"/>
  <c r="E520" i="5"/>
  <c r="F520" i="5" s="1"/>
  <c r="N519" i="5"/>
  <c r="E519" i="5"/>
  <c r="F519" i="5" s="1"/>
  <c r="N518" i="5"/>
  <c r="E518" i="5"/>
  <c r="F518" i="5" s="1"/>
  <c r="N517" i="5"/>
  <c r="E517" i="5"/>
  <c r="F517" i="5" s="1"/>
  <c r="N516" i="5"/>
  <c r="E516" i="5"/>
  <c r="F516" i="5" s="1"/>
  <c r="N515" i="5"/>
  <c r="E515" i="5"/>
  <c r="F515" i="5" s="1"/>
  <c r="N514" i="5"/>
  <c r="E514" i="5"/>
  <c r="F514" i="5" s="1"/>
  <c r="N513" i="5"/>
  <c r="E513" i="5"/>
  <c r="F513" i="5" s="1"/>
  <c r="N512" i="5"/>
  <c r="E512" i="5"/>
  <c r="F512" i="5" s="1"/>
  <c r="N511" i="5"/>
  <c r="E511" i="5"/>
  <c r="F511" i="5" s="1"/>
  <c r="N510" i="5"/>
  <c r="E510" i="5"/>
  <c r="F510" i="5" s="1"/>
  <c r="N509" i="5"/>
  <c r="E509" i="5"/>
  <c r="F509" i="5" s="1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4" i="5"/>
  <c r="L343" i="5"/>
  <c r="L342" i="5"/>
  <c r="L341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1" i="5"/>
  <c r="L280" i="5"/>
  <c r="L279" i="5"/>
  <c r="L278" i="5"/>
  <c r="L277" i="5"/>
  <c r="L275" i="5"/>
  <c r="L274" i="5"/>
  <c r="L273" i="5"/>
  <c r="L269" i="5"/>
  <c r="L268" i="5"/>
  <c r="L267" i="5"/>
  <c r="L266" i="5"/>
  <c r="N266" i="5" s="1"/>
  <c r="O266" i="5" s="1"/>
  <c r="L265" i="5"/>
  <c r="N265" i="5" s="1"/>
  <c r="O265" i="5" s="1"/>
  <c r="L264" i="5"/>
  <c r="N264" i="5" s="1"/>
  <c r="O264" i="5" s="1"/>
  <c r="L263" i="5"/>
  <c r="N263" i="5" s="1"/>
  <c r="O263" i="5" s="1"/>
  <c r="L262" i="5"/>
  <c r="N262" i="5" s="1"/>
  <c r="O262" i="5" s="1"/>
  <c r="L261" i="5"/>
  <c r="N261" i="5" s="1"/>
  <c r="O261" i="5" s="1"/>
  <c r="L260" i="5"/>
  <c r="N260" i="5" s="1"/>
  <c r="O260" i="5" s="1"/>
  <c r="L259" i="5"/>
  <c r="N259" i="5" s="1"/>
  <c r="O259" i="5" s="1"/>
  <c r="L258" i="5"/>
  <c r="N258" i="5" s="1"/>
  <c r="O258" i="5" s="1"/>
  <c r="L257" i="5"/>
  <c r="N257" i="5" s="1"/>
  <c r="O257" i="5" s="1"/>
  <c r="L256" i="5"/>
  <c r="N256" i="5" s="1"/>
  <c r="O256" i="5" s="1"/>
  <c r="L255" i="5"/>
  <c r="N255" i="5" s="1"/>
  <c r="O255" i="5" s="1"/>
  <c r="L254" i="5"/>
  <c r="N254" i="5" s="1"/>
  <c r="O254" i="5" s="1"/>
  <c r="L253" i="5"/>
  <c r="N253" i="5" s="1"/>
  <c r="O253" i="5" s="1"/>
  <c r="L252" i="5"/>
  <c r="N252" i="5" s="1"/>
  <c r="O252" i="5" s="1"/>
  <c r="L251" i="5"/>
  <c r="N251" i="5" s="1"/>
  <c r="O251" i="5" s="1"/>
  <c r="L250" i="5"/>
  <c r="N250" i="5" s="1"/>
  <c r="O250" i="5" s="1"/>
  <c r="L249" i="5"/>
  <c r="N249" i="5" s="1"/>
  <c r="O249" i="5" s="1"/>
  <c r="L248" i="5"/>
  <c r="N248" i="5" s="1"/>
  <c r="O248" i="5" s="1"/>
  <c r="L247" i="5"/>
  <c r="N247" i="5" s="1"/>
  <c r="O247" i="5" s="1"/>
  <c r="L246" i="5"/>
  <c r="N246" i="5" s="1"/>
  <c r="O246" i="5" s="1"/>
  <c r="L245" i="5"/>
  <c r="N245" i="5" s="1"/>
  <c r="O245" i="5" s="1"/>
  <c r="L244" i="5"/>
  <c r="N244" i="5" s="1"/>
  <c r="O244" i="5" s="1"/>
  <c r="L243" i="5"/>
  <c r="N243" i="5" s="1"/>
  <c r="O243" i="5" s="1"/>
  <c r="L242" i="5"/>
  <c r="N242" i="5" s="1"/>
  <c r="O242" i="5" s="1"/>
  <c r="L241" i="5"/>
  <c r="N241" i="5" s="1"/>
  <c r="O241" i="5" s="1"/>
  <c r="L240" i="5"/>
  <c r="N240" i="5" s="1"/>
  <c r="O240" i="5" s="1"/>
  <c r="L239" i="5"/>
  <c r="N239" i="5" s="1"/>
  <c r="O239" i="5" s="1"/>
  <c r="L238" i="5"/>
  <c r="N238" i="5" s="1"/>
  <c r="O238" i="5" s="1"/>
  <c r="L237" i="5"/>
  <c r="N237" i="5" s="1"/>
  <c r="O237" i="5" s="1"/>
  <c r="L236" i="5"/>
  <c r="N236" i="5" s="1"/>
  <c r="O236" i="5" s="1"/>
  <c r="L235" i="5"/>
  <c r="N235" i="5" s="1"/>
  <c r="O235" i="5" s="1"/>
  <c r="L234" i="5"/>
  <c r="N234" i="5" s="1"/>
  <c r="O234" i="5" s="1"/>
  <c r="L233" i="5"/>
  <c r="N233" i="5" s="1"/>
  <c r="O233" i="5" s="1"/>
  <c r="L232" i="5"/>
  <c r="N232" i="5" s="1"/>
  <c r="O232" i="5" s="1"/>
  <c r="L231" i="5"/>
  <c r="N231" i="5" s="1"/>
  <c r="O231" i="5" s="1"/>
  <c r="L230" i="5"/>
  <c r="N230" i="5" s="1"/>
  <c r="O230" i="5" s="1"/>
  <c r="L229" i="5"/>
  <c r="N229" i="5" s="1"/>
  <c r="O229" i="5" s="1"/>
  <c r="L228" i="5"/>
  <c r="N228" i="5" s="1"/>
  <c r="O228" i="5" s="1"/>
  <c r="L227" i="5"/>
  <c r="N227" i="5" s="1"/>
  <c r="O227" i="5" s="1"/>
  <c r="L226" i="5"/>
  <c r="N226" i="5" s="1"/>
  <c r="O226" i="5" s="1"/>
  <c r="L225" i="5"/>
  <c r="N225" i="5" s="1"/>
  <c r="O225" i="5" s="1"/>
  <c r="L224" i="5"/>
  <c r="N224" i="5" s="1"/>
  <c r="O224" i="5" s="1"/>
  <c r="L223" i="5"/>
  <c r="N223" i="5" s="1"/>
  <c r="O223" i="5" s="1"/>
  <c r="L222" i="5"/>
  <c r="N222" i="5" s="1"/>
  <c r="O222" i="5" s="1"/>
  <c r="L221" i="5"/>
  <c r="N221" i="5" s="1"/>
  <c r="O221" i="5" s="1"/>
  <c r="L220" i="5"/>
  <c r="N220" i="5" s="1"/>
  <c r="O220" i="5" s="1"/>
  <c r="L219" i="5"/>
  <c r="N219" i="5" s="1"/>
  <c r="O219" i="5" s="1"/>
  <c r="L218" i="5"/>
  <c r="N218" i="5" s="1"/>
  <c r="O218" i="5" s="1"/>
  <c r="L217" i="5"/>
  <c r="N217" i="5" s="1"/>
  <c r="O217" i="5" s="1"/>
  <c r="L216" i="5"/>
  <c r="N216" i="5" s="1"/>
  <c r="O216" i="5" s="1"/>
  <c r="L215" i="5"/>
  <c r="N215" i="5" s="1"/>
  <c r="O215" i="5" s="1"/>
  <c r="L214" i="5"/>
  <c r="N214" i="5" s="1"/>
  <c r="O214" i="5" s="1"/>
  <c r="L213" i="5"/>
  <c r="N213" i="5" s="1"/>
  <c r="O213" i="5" s="1"/>
  <c r="L212" i="5"/>
  <c r="N212" i="5" s="1"/>
  <c r="O212" i="5" s="1"/>
  <c r="L211" i="5"/>
  <c r="N211" i="5" s="1"/>
  <c r="O211" i="5" s="1"/>
  <c r="L210" i="5"/>
  <c r="N210" i="5" s="1"/>
  <c r="O210" i="5" s="1"/>
  <c r="L209" i="5"/>
  <c r="N209" i="5" s="1"/>
  <c r="O209" i="5" s="1"/>
  <c r="L208" i="5"/>
  <c r="N208" i="5" s="1"/>
  <c r="O208" i="5" s="1"/>
  <c r="L207" i="5"/>
  <c r="N207" i="5" s="1"/>
  <c r="O207" i="5" s="1"/>
  <c r="L206" i="5"/>
  <c r="N206" i="5" s="1"/>
  <c r="O206" i="5" s="1"/>
  <c r="L205" i="5"/>
  <c r="N205" i="5" s="1"/>
  <c r="O205" i="5" s="1"/>
  <c r="L204" i="5"/>
  <c r="N204" i="5" s="1"/>
  <c r="O204" i="5" s="1"/>
  <c r="L203" i="5"/>
  <c r="N203" i="5" s="1"/>
  <c r="O203" i="5" s="1"/>
  <c r="L202" i="5"/>
  <c r="N202" i="5" s="1"/>
  <c r="O202" i="5" s="1"/>
  <c r="L201" i="5"/>
  <c r="N201" i="5" s="1"/>
  <c r="O201" i="5" s="1"/>
  <c r="L200" i="5"/>
  <c r="N200" i="5" s="1"/>
  <c r="O200" i="5" s="1"/>
  <c r="L199" i="5"/>
  <c r="N199" i="5" s="1"/>
  <c r="O199" i="5" s="1"/>
  <c r="L198" i="5"/>
  <c r="N198" i="5" s="1"/>
  <c r="O198" i="5" s="1"/>
  <c r="L197" i="5"/>
  <c r="N197" i="5" s="1"/>
  <c r="O197" i="5" s="1"/>
  <c r="L196" i="5"/>
  <c r="N196" i="5" s="1"/>
  <c r="O196" i="5" s="1"/>
  <c r="L195" i="5"/>
  <c r="N195" i="5" s="1"/>
  <c r="O195" i="5" s="1"/>
  <c r="L194" i="5"/>
  <c r="N194" i="5" s="1"/>
  <c r="O194" i="5" s="1"/>
  <c r="L193" i="5"/>
  <c r="N193" i="5" s="1"/>
  <c r="O193" i="5" s="1"/>
  <c r="L192" i="5"/>
  <c r="N192" i="5" s="1"/>
  <c r="O192" i="5" s="1"/>
  <c r="L191" i="5"/>
  <c r="N191" i="5" s="1"/>
  <c r="O191" i="5" s="1"/>
  <c r="L190" i="5"/>
  <c r="N190" i="5" s="1"/>
  <c r="O190" i="5" s="1"/>
  <c r="L189" i="5"/>
  <c r="N189" i="5" s="1"/>
  <c r="O189" i="5" s="1"/>
  <c r="L188" i="5"/>
  <c r="N188" i="5" s="1"/>
  <c r="O188" i="5" s="1"/>
  <c r="L187" i="5"/>
  <c r="N187" i="5" s="1"/>
  <c r="O187" i="5" s="1"/>
  <c r="L186" i="5"/>
  <c r="N186" i="5" s="1"/>
  <c r="O186" i="5" s="1"/>
  <c r="L185" i="5"/>
  <c r="N185" i="5" s="1"/>
  <c r="O185" i="5" s="1"/>
  <c r="L184" i="5"/>
  <c r="N184" i="5" s="1"/>
  <c r="O184" i="5" s="1"/>
  <c r="L183" i="5"/>
  <c r="N183" i="5" s="1"/>
  <c r="O183" i="5" s="1"/>
  <c r="L182" i="5"/>
  <c r="N182" i="5" s="1"/>
  <c r="O182" i="5" s="1"/>
  <c r="L181" i="5"/>
  <c r="N181" i="5" s="1"/>
  <c r="O181" i="5" s="1"/>
  <c r="L180" i="5"/>
  <c r="N180" i="5" s="1"/>
  <c r="O180" i="5" s="1"/>
  <c r="L179" i="5"/>
  <c r="N179" i="5" s="1"/>
  <c r="O179" i="5" s="1"/>
  <c r="L178" i="5"/>
  <c r="N178" i="5" s="1"/>
  <c r="O178" i="5" s="1"/>
  <c r="L177" i="5"/>
  <c r="N177" i="5" s="1"/>
  <c r="O177" i="5" s="1"/>
  <c r="L176" i="5"/>
  <c r="N176" i="5" s="1"/>
  <c r="O176" i="5" s="1"/>
  <c r="L175" i="5"/>
  <c r="N175" i="5" s="1"/>
  <c r="O175" i="5" s="1"/>
  <c r="L174" i="5"/>
  <c r="N174" i="5" s="1"/>
  <c r="O174" i="5" s="1"/>
  <c r="L173" i="5"/>
  <c r="N173" i="5" s="1"/>
  <c r="O173" i="5" s="1"/>
  <c r="L172" i="5"/>
  <c r="N172" i="5" s="1"/>
  <c r="O172" i="5" s="1"/>
  <c r="L171" i="5"/>
  <c r="N171" i="5" s="1"/>
  <c r="O171" i="5" s="1"/>
  <c r="L170" i="5"/>
  <c r="N170" i="5" s="1"/>
  <c r="O170" i="5" s="1"/>
  <c r="L169" i="5"/>
  <c r="N169" i="5" s="1"/>
  <c r="O169" i="5" s="1"/>
  <c r="L168" i="5"/>
  <c r="N168" i="5" s="1"/>
  <c r="O168" i="5" s="1"/>
  <c r="L167" i="5"/>
  <c r="N167" i="5" s="1"/>
  <c r="O167" i="5" s="1"/>
  <c r="L166" i="5"/>
  <c r="N166" i="5" s="1"/>
  <c r="O166" i="5" s="1"/>
  <c r="L165" i="5"/>
  <c r="N165" i="5" s="1"/>
  <c r="O165" i="5" s="1"/>
  <c r="L164" i="5"/>
  <c r="N164" i="5" s="1"/>
  <c r="O164" i="5" s="1"/>
  <c r="L163" i="5"/>
  <c r="N163" i="5" s="1"/>
  <c r="O163" i="5" s="1"/>
  <c r="L162" i="5"/>
  <c r="N162" i="5" s="1"/>
  <c r="O162" i="5" s="1"/>
  <c r="L161" i="5"/>
  <c r="N161" i="5" s="1"/>
  <c r="O161" i="5" s="1"/>
  <c r="L160" i="5"/>
  <c r="N160" i="5" s="1"/>
  <c r="O160" i="5" s="1"/>
  <c r="L159" i="5"/>
  <c r="N159" i="5" s="1"/>
  <c r="O159" i="5" s="1"/>
  <c r="L158" i="5"/>
  <c r="N158" i="5" s="1"/>
  <c r="O158" i="5" s="1"/>
  <c r="L157" i="5"/>
  <c r="N157" i="5" s="1"/>
  <c r="O157" i="5" s="1"/>
  <c r="L156" i="5"/>
  <c r="N156" i="5" s="1"/>
  <c r="O156" i="5" s="1"/>
  <c r="L155" i="5"/>
  <c r="N155" i="5" s="1"/>
  <c r="O155" i="5" s="1"/>
  <c r="L154" i="5"/>
  <c r="N154" i="5" s="1"/>
  <c r="O154" i="5" s="1"/>
  <c r="L153" i="5"/>
  <c r="N153" i="5" s="1"/>
  <c r="O153" i="5" s="1"/>
  <c r="L152" i="5"/>
  <c r="N152" i="5" s="1"/>
  <c r="O152" i="5" s="1"/>
  <c r="L151" i="5"/>
  <c r="N151" i="5" s="1"/>
  <c r="O151" i="5" s="1"/>
  <c r="L150" i="5"/>
  <c r="N150" i="5" s="1"/>
  <c r="O150" i="5" s="1"/>
  <c r="L149" i="5"/>
  <c r="N149" i="5" s="1"/>
  <c r="O149" i="5" s="1"/>
  <c r="L148" i="5"/>
  <c r="N148" i="5" s="1"/>
  <c r="O148" i="5" s="1"/>
  <c r="L147" i="5"/>
  <c r="N147" i="5" s="1"/>
  <c r="O147" i="5" s="1"/>
  <c r="L146" i="5"/>
  <c r="N146" i="5" s="1"/>
  <c r="O146" i="5" s="1"/>
  <c r="L145" i="5"/>
  <c r="N145" i="5" s="1"/>
  <c r="O145" i="5" s="1"/>
  <c r="L144" i="5"/>
  <c r="N144" i="5" s="1"/>
  <c r="O144" i="5" s="1"/>
  <c r="L143" i="5"/>
  <c r="N143" i="5" s="1"/>
  <c r="O143" i="5" s="1"/>
  <c r="L142" i="5"/>
  <c r="N142" i="5" s="1"/>
  <c r="O142" i="5" s="1"/>
  <c r="L141" i="5"/>
  <c r="N141" i="5" s="1"/>
  <c r="O141" i="5" s="1"/>
  <c r="L140" i="5"/>
  <c r="N140" i="5" s="1"/>
  <c r="O140" i="5" s="1"/>
  <c r="L139" i="5"/>
  <c r="N139" i="5" s="1"/>
  <c r="O139" i="5" s="1"/>
  <c r="L138" i="5"/>
  <c r="N138" i="5" s="1"/>
  <c r="O138" i="5" s="1"/>
  <c r="L136" i="5"/>
  <c r="N136" i="5" s="1"/>
  <c r="O136" i="5" s="1"/>
  <c r="L135" i="5"/>
  <c r="N135" i="5" s="1"/>
  <c r="O135" i="5" s="1"/>
  <c r="L134" i="5"/>
  <c r="N134" i="5" s="1"/>
  <c r="O134" i="5" s="1"/>
  <c r="L133" i="5"/>
  <c r="N133" i="5" s="1"/>
  <c r="O133" i="5" s="1"/>
  <c r="L132" i="5"/>
  <c r="N132" i="5" s="1"/>
  <c r="O132" i="5" s="1"/>
  <c r="L131" i="5"/>
  <c r="N131" i="5" s="1"/>
  <c r="O131" i="5" s="1"/>
  <c r="L130" i="5"/>
  <c r="N130" i="5" s="1"/>
  <c r="O130" i="5" s="1"/>
  <c r="L129" i="5"/>
  <c r="N129" i="5" s="1"/>
  <c r="O129" i="5" s="1"/>
  <c r="L128" i="5"/>
  <c r="N128" i="5" s="1"/>
  <c r="O128" i="5" s="1"/>
  <c r="L127" i="5"/>
  <c r="N127" i="5" s="1"/>
  <c r="O127" i="5" s="1"/>
  <c r="L125" i="5"/>
  <c r="N125" i="5" s="1"/>
  <c r="O125" i="5" s="1"/>
  <c r="L124" i="5"/>
  <c r="N124" i="5" s="1"/>
  <c r="O124" i="5" s="1"/>
  <c r="L123" i="5"/>
  <c r="N123" i="5" s="1"/>
  <c r="O123" i="5" s="1"/>
  <c r="L122" i="5"/>
  <c r="N122" i="5" s="1"/>
  <c r="O122" i="5" s="1"/>
  <c r="L121" i="5"/>
  <c r="N121" i="5" s="1"/>
  <c r="O121" i="5" s="1"/>
  <c r="L120" i="5"/>
  <c r="N120" i="5" s="1"/>
  <c r="O120" i="5" s="1"/>
  <c r="L119" i="5"/>
  <c r="N119" i="5" s="1"/>
  <c r="O119" i="5" s="1"/>
  <c r="L118" i="5"/>
  <c r="N118" i="5" s="1"/>
  <c r="O118" i="5" s="1"/>
  <c r="L117" i="5"/>
  <c r="N117" i="5" s="1"/>
  <c r="O117" i="5" s="1"/>
  <c r="L116" i="5"/>
  <c r="N116" i="5" s="1"/>
  <c r="O116" i="5" s="1"/>
  <c r="L115" i="5"/>
  <c r="N115" i="5" s="1"/>
  <c r="O115" i="5" s="1"/>
  <c r="L114" i="5"/>
  <c r="N114" i="5" s="1"/>
  <c r="O114" i="5" s="1"/>
  <c r="L113" i="5"/>
  <c r="N113" i="5" s="1"/>
  <c r="O113" i="5" s="1"/>
  <c r="L112" i="5"/>
  <c r="N112" i="5" s="1"/>
  <c r="O112" i="5" s="1"/>
  <c r="L111" i="5"/>
  <c r="N111" i="5" s="1"/>
  <c r="O111" i="5" s="1"/>
  <c r="L110" i="5"/>
  <c r="N110" i="5" s="1"/>
  <c r="O110" i="5" s="1"/>
  <c r="L109" i="5"/>
  <c r="N109" i="5" s="1"/>
  <c r="O109" i="5" s="1"/>
  <c r="L108" i="5"/>
  <c r="N108" i="5" s="1"/>
  <c r="O108" i="5" s="1"/>
  <c r="L107" i="5"/>
  <c r="N107" i="5" s="1"/>
  <c r="O107" i="5" s="1"/>
  <c r="L106" i="5"/>
  <c r="N106" i="5" s="1"/>
  <c r="O106" i="5" s="1"/>
  <c r="L105" i="5"/>
  <c r="N105" i="5" s="1"/>
  <c r="O105" i="5" s="1"/>
  <c r="L104" i="5"/>
  <c r="N104" i="5" s="1"/>
  <c r="O104" i="5" s="1"/>
  <c r="L103" i="5"/>
  <c r="N103" i="5" s="1"/>
  <c r="O103" i="5" s="1"/>
  <c r="L102" i="5"/>
  <c r="N102" i="5" s="1"/>
  <c r="O102" i="5" s="1"/>
  <c r="L101" i="5"/>
  <c r="N101" i="5" s="1"/>
  <c r="O101" i="5" s="1"/>
  <c r="L100" i="5"/>
  <c r="N100" i="5" s="1"/>
  <c r="O100" i="5" s="1"/>
  <c r="L99" i="5"/>
  <c r="N99" i="5" s="1"/>
  <c r="O99" i="5" s="1"/>
  <c r="L98" i="5"/>
  <c r="N98" i="5" s="1"/>
  <c r="O98" i="5" s="1"/>
  <c r="L97" i="5"/>
  <c r="N97" i="5" s="1"/>
  <c r="O97" i="5" s="1"/>
  <c r="L96" i="5"/>
  <c r="N96" i="5" s="1"/>
  <c r="O96" i="5" s="1"/>
  <c r="L95" i="5"/>
  <c r="N95" i="5" s="1"/>
  <c r="O95" i="5" s="1"/>
  <c r="L94" i="5"/>
  <c r="N94" i="5" s="1"/>
  <c r="O94" i="5" s="1"/>
  <c r="L93" i="5"/>
  <c r="N93" i="5" s="1"/>
  <c r="O93" i="5" s="1"/>
  <c r="L92" i="5"/>
  <c r="N92" i="5" s="1"/>
  <c r="O92" i="5" s="1"/>
  <c r="L91" i="5"/>
  <c r="N91" i="5" s="1"/>
  <c r="O91" i="5" s="1"/>
  <c r="L90" i="5"/>
  <c r="N90" i="5" s="1"/>
  <c r="O90" i="5" s="1"/>
  <c r="L89" i="5"/>
  <c r="N89" i="5" s="1"/>
  <c r="O89" i="5" s="1"/>
  <c r="L88" i="5"/>
  <c r="N88" i="5" s="1"/>
  <c r="O88" i="5" s="1"/>
  <c r="L87" i="5"/>
  <c r="N87" i="5" s="1"/>
  <c r="O87" i="5" s="1"/>
  <c r="L86" i="5"/>
  <c r="N86" i="5" s="1"/>
  <c r="O86" i="5" s="1"/>
  <c r="L85" i="5"/>
  <c r="N85" i="5" s="1"/>
  <c r="O85" i="5" s="1"/>
  <c r="L84" i="5"/>
  <c r="N84" i="5" s="1"/>
  <c r="O84" i="5" s="1"/>
  <c r="L83" i="5"/>
  <c r="N83" i="5" s="1"/>
  <c r="O83" i="5" s="1"/>
  <c r="L82" i="5"/>
  <c r="N82" i="5" s="1"/>
  <c r="O82" i="5" s="1"/>
  <c r="L81" i="5"/>
  <c r="N81" i="5" s="1"/>
  <c r="O81" i="5" s="1"/>
  <c r="L80" i="5"/>
  <c r="N80" i="5" s="1"/>
  <c r="O80" i="5" s="1"/>
  <c r="L79" i="5"/>
  <c r="N79" i="5" s="1"/>
  <c r="O79" i="5" s="1"/>
  <c r="L78" i="5"/>
  <c r="N78" i="5" s="1"/>
  <c r="O78" i="5" s="1"/>
  <c r="L77" i="5"/>
  <c r="N77" i="5" s="1"/>
  <c r="O77" i="5" s="1"/>
  <c r="L76" i="5"/>
  <c r="N76" i="5" s="1"/>
  <c r="O76" i="5" s="1"/>
  <c r="L75" i="5"/>
  <c r="N75" i="5" s="1"/>
  <c r="O75" i="5" s="1"/>
  <c r="L74" i="5"/>
  <c r="N74" i="5" s="1"/>
  <c r="O74" i="5" s="1"/>
  <c r="L73" i="5"/>
  <c r="N73" i="5" s="1"/>
  <c r="O73" i="5" s="1"/>
  <c r="L72" i="5"/>
  <c r="N72" i="5" s="1"/>
  <c r="O72" i="5" s="1"/>
  <c r="L71" i="5"/>
  <c r="N71" i="5" s="1"/>
  <c r="O71" i="5" s="1"/>
  <c r="L70" i="5"/>
  <c r="N70" i="5" s="1"/>
  <c r="O70" i="5" s="1"/>
  <c r="L69" i="5"/>
  <c r="N69" i="5" s="1"/>
  <c r="O69" i="5" s="1"/>
  <c r="L68" i="5"/>
  <c r="N68" i="5" s="1"/>
  <c r="O68" i="5" s="1"/>
  <c r="L67" i="5"/>
  <c r="N67" i="5" s="1"/>
  <c r="O67" i="5" s="1"/>
  <c r="L66" i="5"/>
  <c r="N66" i="5" s="1"/>
  <c r="O66" i="5" s="1"/>
  <c r="L65" i="5"/>
  <c r="N65" i="5" s="1"/>
  <c r="O65" i="5" s="1"/>
  <c r="L64" i="5"/>
  <c r="N64" i="5" s="1"/>
  <c r="O64" i="5" s="1"/>
  <c r="L63" i="5"/>
  <c r="N63" i="5" s="1"/>
  <c r="O63" i="5" s="1"/>
  <c r="L62" i="5"/>
  <c r="N62" i="5" s="1"/>
  <c r="O62" i="5" s="1"/>
  <c r="L61" i="5"/>
  <c r="N61" i="5" s="1"/>
  <c r="O61" i="5" s="1"/>
  <c r="L60" i="5"/>
  <c r="N60" i="5" s="1"/>
  <c r="O60" i="5" s="1"/>
  <c r="L59" i="5"/>
  <c r="N59" i="5" s="1"/>
  <c r="O59" i="5" s="1"/>
  <c r="L58" i="5"/>
  <c r="N58" i="5" s="1"/>
  <c r="O58" i="5" s="1"/>
  <c r="L57" i="5"/>
  <c r="N57" i="5" s="1"/>
  <c r="O57" i="5" s="1"/>
  <c r="L56" i="5"/>
  <c r="N56" i="5" s="1"/>
  <c r="O56" i="5" s="1"/>
  <c r="L55" i="5"/>
  <c r="N55" i="5" s="1"/>
  <c r="O55" i="5" s="1"/>
  <c r="L54" i="5"/>
  <c r="N54" i="5" s="1"/>
  <c r="O54" i="5" s="1"/>
  <c r="L53" i="5"/>
  <c r="N53" i="5" s="1"/>
  <c r="O53" i="5" s="1"/>
  <c r="L52" i="5"/>
  <c r="N52" i="5" s="1"/>
  <c r="O52" i="5" s="1"/>
  <c r="L51" i="5"/>
  <c r="N51" i="5" s="1"/>
  <c r="O51" i="5" s="1"/>
  <c r="L50" i="5"/>
  <c r="N50" i="5" s="1"/>
  <c r="O50" i="5" s="1"/>
  <c r="L49" i="5"/>
  <c r="N49" i="5" s="1"/>
  <c r="O49" i="5" s="1"/>
  <c r="L48" i="5"/>
  <c r="N48" i="5" s="1"/>
  <c r="O48" i="5" s="1"/>
  <c r="L47" i="5"/>
  <c r="N47" i="5" s="1"/>
  <c r="O47" i="5" s="1"/>
  <c r="L46" i="5"/>
  <c r="N46" i="5" s="1"/>
  <c r="O46" i="5" s="1"/>
  <c r="L45" i="5"/>
  <c r="N45" i="5" s="1"/>
  <c r="O45" i="5" s="1"/>
  <c r="L44" i="5"/>
  <c r="N44" i="5" s="1"/>
  <c r="O44" i="5" s="1"/>
  <c r="L43" i="5"/>
  <c r="N43" i="5" s="1"/>
  <c r="O43" i="5" s="1"/>
  <c r="L42" i="5"/>
  <c r="N42" i="5" s="1"/>
  <c r="O42" i="5" s="1"/>
  <c r="L41" i="5"/>
  <c r="N41" i="5" s="1"/>
  <c r="O41" i="5" s="1"/>
  <c r="L40" i="5"/>
  <c r="N40" i="5" s="1"/>
  <c r="O40" i="5" s="1"/>
  <c r="L39" i="5"/>
  <c r="N39" i="5" s="1"/>
  <c r="O39" i="5" s="1"/>
  <c r="L38" i="5"/>
  <c r="N38" i="5" s="1"/>
  <c r="O38" i="5" s="1"/>
  <c r="L37" i="5"/>
  <c r="N37" i="5" s="1"/>
  <c r="O37" i="5" s="1"/>
  <c r="L36" i="5"/>
  <c r="N36" i="5" s="1"/>
  <c r="O36" i="5" s="1"/>
  <c r="L35" i="5"/>
  <c r="N35" i="5" s="1"/>
  <c r="O35" i="5" s="1"/>
  <c r="L34" i="5"/>
  <c r="N34" i="5" s="1"/>
  <c r="O34" i="5" s="1"/>
  <c r="L33" i="5"/>
  <c r="N33" i="5" s="1"/>
  <c r="O33" i="5" s="1"/>
  <c r="L32" i="5"/>
  <c r="N32" i="5" s="1"/>
  <c r="O32" i="5" s="1"/>
  <c r="L31" i="5"/>
  <c r="N31" i="5" s="1"/>
  <c r="O31" i="5" s="1"/>
  <c r="L30" i="5"/>
  <c r="N30" i="5" s="1"/>
  <c r="O30" i="5" s="1"/>
  <c r="L29" i="5"/>
  <c r="N29" i="5" s="1"/>
  <c r="O29" i="5" s="1"/>
  <c r="L28" i="5"/>
  <c r="N28" i="5" s="1"/>
  <c r="O28" i="5" s="1"/>
  <c r="L27" i="5"/>
  <c r="N27" i="5" s="1"/>
  <c r="O27" i="5" s="1"/>
  <c r="L26" i="5"/>
  <c r="N26" i="5" s="1"/>
  <c r="O26" i="5" s="1"/>
  <c r="L25" i="5"/>
  <c r="N25" i="5" s="1"/>
  <c r="O25" i="5" s="1"/>
  <c r="L24" i="5"/>
  <c r="N24" i="5" s="1"/>
  <c r="O24" i="5" s="1"/>
  <c r="L23" i="5"/>
  <c r="N23" i="5" s="1"/>
  <c r="O23" i="5" s="1"/>
  <c r="L22" i="5"/>
  <c r="N22" i="5" s="1"/>
  <c r="O22" i="5" s="1"/>
  <c r="L21" i="5"/>
  <c r="N21" i="5" s="1"/>
  <c r="O21" i="5" s="1"/>
  <c r="L20" i="5"/>
  <c r="N20" i="5" s="1"/>
  <c r="O20" i="5" s="1"/>
  <c r="L19" i="5"/>
  <c r="N19" i="5" s="1"/>
  <c r="O19" i="5" s="1"/>
  <c r="L18" i="5"/>
  <c r="N18" i="5" s="1"/>
  <c r="O18" i="5" s="1"/>
  <c r="L17" i="5"/>
  <c r="N17" i="5" s="1"/>
  <c r="O17" i="5" s="1"/>
  <c r="L16" i="5"/>
  <c r="N16" i="5" s="1"/>
  <c r="O16" i="5" s="1"/>
  <c r="L15" i="5"/>
  <c r="N15" i="5" s="1"/>
  <c r="O15" i="5" s="1"/>
  <c r="L14" i="5"/>
  <c r="N14" i="5" s="1"/>
  <c r="O14" i="5" s="1"/>
  <c r="L13" i="5"/>
  <c r="N13" i="5" s="1"/>
  <c r="O13" i="5" s="1"/>
  <c r="L12" i="5"/>
  <c r="N12" i="5" s="1"/>
  <c r="O12" i="5" s="1"/>
  <c r="L11" i="5"/>
  <c r="N11" i="5" s="1"/>
  <c r="O11" i="5" s="1"/>
  <c r="L10" i="5"/>
  <c r="N10" i="5" s="1"/>
  <c r="O10" i="5" s="1"/>
  <c r="L9" i="5"/>
  <c r="N9" i="5" s="1"/>
  <c r="O9" i="5" s="1"/>
  <c r="L8" i="5"/>
  <c r="N8" i="5" s="1"/>
  <c r="O8" i="5" s="1"/>
  <c r="L7" i="5"/>
  <c r="N7" i="5" s="1"/>
  <c r="O7" i="5" s="1"/>
  <c r="L6" i="5"/>
  <c r="N6" i="5" s="1"/>
  <c r="O6" i="5" s="1"/>
  <c r="L5" i="5"/>
  <c r="N5" i="5" s="1"/>
  <c r="O5" i="5" s="1"/>
  <c r="L4" i="5"/>
  <c r="N4" i="5" s="1"/>
  <c r="O4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1" i="5"/>
  <c r="I92" i="5"/>
  <c r="I93" i="5"/>
  <c r="I94" i="5"/>
  <c r="I95" i="5"/>
  <c r="I96" i="5"/>
  <c r="I97" i="5"/>
  <c r="I98" i="5"/>
  <c r="I99" i="5"/>
  <c r="I100" i="5"/>
  <c r="I101" i="5"/>
  <c r="I102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6" i="5"/>
  <c r="I147" i="5"/>
  <c r="I149" i="5"/>
  <c r="I150" i="5"/>
  <c r="I151" i="5"/>
  <c r="I153" i="5"/>
  <c r="I154" i="5"/>
  <c r="I155" i="5"/>
  <c r="I157" i="5"/>
  <c r="I158" i="5"/>
  <c r="I160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2" i="5"/>
  <c r="H103" i="5"/>
  <c r="L3" i="5"/>
  <c r="N3" i="5" s="1"/>
  <c r="O3" i="5" s="1"/>
  <c r="E273" i="5"/>
  <c r="F273" i="5" s="1"/>
  <c r="E274" i="5"/>
  <c r="F274" i="5" s="1"/>
  <c r="E275" i="5"/>
  <c r="F275" i="5" s="1"/>
  <c r="E276" i="5"/>
  <c r="F276" i="5" s="1"/>
  <c r="E277" i="5"/>
  <c r="F277" i="5" s="1"/>
  <c r="E278" i="5"/>
  <c r="F278" i="5" s="1"/>
  <c r="E279" i="5"/>
  <c r="F279" i="5" s="1"/>
  <c r="E236" i="5"/>
  <c r="F236" i="5" s="1"/>
  <c r="A3" i="7"/>
  <c r="I103" i="5" l="1"/>
  <c r="O548" i="5"/>
  <c r="O543" i="5"/>
  <c r="O557" i="5"/>
  <c r="O556" i="5"/>
  <c r="O555" i="5"/>
  <c r="O554" i="5"/>
  <c r="O553" i="5"/>
  <c r="O552" i="5"/>
  <c r="O551" i="5"/>
  <c r="O550" i="5"/>
  <c r="O549" i="5"/>
  <c r="O547" i="5"/>
  <c r="O546" i="5"/>
  <c r="O545" i="5"/>
  <c r="O544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N367" i="5"/>
  <c r="O367" i="5" s="1"/>
  <c r="N368" i="5"/>
  <c r="O368" i="5" s="1"/>
  <c r="N369" i="5"/>
  <c r="O369" i="5" s="1"/>
  <c r="N370" i="5"/>
  <c r="O370" i="5" s="1"/>
  <c r="N371" i="5"/>
  <c r="O371" i="5" s="1"/>
  <c r="N372" i="5"/>
  <c r="O372" i="5" s="1"/>
  <c r="N374" i="5"/>
  <c r="O374" i="5" s="1"/>
  <c r="N375" i="5"/>
  <c r="O375" i="5" s="1"/>
  <c r="N376" i="5"/>
  <c r="O376" i="5" s="1"/>
  <c r="N377" i="5"/>
  <c r="O377" i="5" s="1"/>
  <c r="N378" i="5"/>
  <c r="O378" i="5" s="1"/>
  <c r="N379" i="5"/>
  <c r="O379" i="5" s="1"/>
  <c r="N385" i="5"/>
  <c r="O385" i="5" s="1"/>
  <c r="N386" i="5"/>
  <c r="O386" i="5" s="1"/>
  <c r="N416" i="5"/>
  <c r="O416" i="5" s="1"/>
  <c r="N439" i="5"/>
  <c r="O439" i="5" s="1"/>
  <c r="N440" i="5"/>
  <c r="O440" i="5" s="1"/>
  <c r="N441" i="5"/>
  <c r="O441" i="5" s="1"/>
  <c r="N442" i="5"/>
  <c r="O442" i="5" s="1"/>
  <c r="N443" i="5"/>
  <c r="O443" i="5" s="1"/>
  <c r="N444" i="5"/>
  <c r="O444" i="5" s="1"/>
  <c r="N445" i="5"/>
  <c r="O445" i="5" s="1"/>
  <c r="N446" i="5"/>
  <c r="O446" i="5" s="1"/>
  <c r="N447" i="5"/>
  <c r="O447" i="5" s="1"/>
  <c r="N451" i="5"/>
  <c r="O451" i="5" s="1"/>
  <c r="N462" i="5"/>
  <c r="O462" i="5" s="1"/>
  <c r="N463" i="5"/>
  <c r="O463" i="5" s="1"/>
  <c r="N464" i="5"/>
  <c r="O464" i="5" s="1"/>
  <c r="N470" i="5"/>
  <c r="O470" i="5" s="1"/>
  <c r="N473" i="5"/>
  <c r="O473" i="5" s="1"/>
  <c r="N490" i="5"/>
  <c r="O490" i="5" s="1"/>
  <c r="N491" i="5"/>
  <c r="O491" i="5" s="1"/>
  <c r="N494" i="5"/>
  <c r="O494" i="5" s="1"/>
  <c r="N502" i="5"/>
  <c r="O502" i="5" s="1"/>
  <c r="N503" i="5"/>
  <c r="O503" i="5" s="1"/>
  <c r="N280" i="5"/>
  <c r="O280" i="5" s="1"/>
  <c r="N281" i="5"/>
  <c r="O281" i="5" s="1"/>
  <c r="N292" i="5"/>
  <c r="O292" i="5" s="1"/>
  <c r="N293" i="5"/>
  <c r="O293" i="5" s="1"/>
  <c r="N294" i="5"/>
  <c r="O294" i="5" s="1"/>
  <c r="N341" i="5"/>
  <c r="O341" i="5" s="1"/>
  <c r="N342" i="5"/>
  <c r="O342" i="5" s="1"/>
  <c r="N343" i="5"/>
  <c r="O343" i="5" s="1"/>
  <c r="N344" i="5"/>
  <c r="O344" i="5" s="1"/>
  <c r="N349" i="5"/>
  <c r="O349" i="5" s="1"/>
  <c r="N350" i="5"/>
  <c r="O350" i="5" s="1"/>
  <c r="N351" i="5"/>
  <c r="O351" i="5" s="1"/>
  <c r="N352" i="5"/>
  <c r="O352" i="5" s="1"/>
  <c r="N353" i="5"/>
  <c r="O353" i="5" s="1"/>
  <c r="N354" i="5"/>
  <c r="O354" i="5" s="1"/>
  <c r="N355" i="5"/>
  <c r="O355" i="5" s="1"/>
  <c r="N356" i="5"/>
  <c r="O356" i="5" s="1"/>
  <c r="N357" i="5"/>
  <c r="O357" i="5" s="1"/>
  <c r="N358" i="5"/>
  <c r="O358" i="5" s="1"/>
  <c r="N359" i="5"/>
  <c r="O359" i="5" s="1"/>
  <c r="N360" i="5"/>
  <c r="O360" i="5" s="1"/>
  <c r="N361" i="5"/>
  <c r="O361" i="5" s="1"/>
  <c r="N362" i="5"/>
  <c r="O362" i="5" s="1"/>
  <c r="N363" i="5"/>
  <c r="O363" i="5" s="1"/>
  <c r="N364" i="5"/>
  <c r="O364" i="5" s="1"/>
  <c r="N365" i="5"/>
  <c r="O365" i="5" s="1"/>
  <c r="N366" i="5"/>
  <c r="O366" i="5" s="1"/>
  <c r="N373" i="5"/>
  <c r="O373" i="5" s="1"/>
  <c r="N380" i="5"/>
  <c r="O380" i="5" s="1"/>
  <c r="N381" i="5"/>
  <c r="O381" i="5" s="1"/>
  <c r="N382" i="5"/>
  <c r="O382" i="5" s="1"/>
  <c r="N383" i="5"/>
  <c r="O383" i="5" s="1"/>
  <c r="N384" i="5"/>
  <c r="O384" i="5" s="1"/>
  <c r="N387" i="5"/>
  <c r="O387" i="5" s="1"/>
  <c r="N388" i="5"/>
  <c r="O388" i="5" s="1"/>
  <c r="N389" i="5"/>
  <c r="O389" i="5" s="1"/>
  <c r="N391" i="5"/>
  <c r="O391" i="5" s="1"/>
  <c r="N392" i="5"/>
  <c r="O392" i="5" s="1"/>
  <c r="N393" i="5"/>
  <c r="O393" i="5" s="1"/>
  <c r="N394" i="5"/>
  <c r="O394" i="5" s="1"/>
  <c r="N395" i="5"/>
  <c r="O395" i="5" s="1"/>
  <c r="N396" i="5"/>
  <c r="O396" i="5" s="1"/>
  <c r="N397" i="5"/>
  <c r="O397" i="5" s="1"/>
  <c r="N398" i="5"/>
  <c r="O398" i="5" s="1"/>
  <c r="N399" i="5"/>
  <c r="O399" i="5" s="1"/>
  <c r="N400" i="5"/>
  <c r="O400" i="5" s="1"/>
  <c r="N401" i="5"/>
  <c r="O401" i="5" s="1"/>
  <c r="N402" i="5"/>
  <c r="O402" i="5" s="1"/>
  <c r="N403" i="5"/>
  <c r="O403" i="5" s="1"/>
  <c r="N404" i="5"/>
  <c r="O404" i="5" s="1"/>
  <c r="N405" i="5"/>
  <c r="O405" i="5" s="1"/>
  <c r="N406" i="5"/>
  <c r="O406" i="5" s="1"/>
  <c r="N407" i="5"/>
  <c r="O407" i="5" s="1"/>
  <c r="N408" i="5"/>
  <c r="O408" i="5" s="1"/>
  <c r="N409" i="5"/>
  <c r="O409" i="5" s="1"/>
  <c r="N410" i="5"/>
  <c r="O410" i="5" s="1"/>
  <c r="N411" i="5"/>
  <c r="O411" i="5" s="1"/>
  <c r="N412" i="5"/>
  <c r="O412" i="5" s="1"/>
  <c r="N413" i="5"/>
  <c r="O413" i="5" s="1"/>
  <c r="N414" i="5"/>
  <c r="O414" i="5" s="1"/>
  <c r="N415" i="5"/>
  <c r="O415" i="5" s="1"/>
  <c r="N417" i="5"/>
  <c r="O417" i="5" s="1"/>
  <c r="N418" i="5"/>
  <c r="O418" i="5" s="1"/>
  <c r="N419" i="5"/>
  <c r="O419" i="5" s="1"/>
  <c r="N420" i="5"/>
  <c r="O420" i="5" s="1"/>
  <c r="N421" i="5"/>
  <c r="O421" i="5" s="1"/>
  <c r="N422" i="5"/>
  <c r="O422" i="5" s="1"/>
  <c r="N423" i="5"/>
  <c r="O423" i="5" s="1"/>
  <c r="N424" i="5"/>
  <c r="O424" i="5" s="1"/>
  <c r="N425" i="5"/>
  <c r="O425" i="5" s="1"/>
  <c r="N426" i="5"/>
  <c r="O426" i="5" s="1"/>
  <c r="N427" i="5"/>
  <c r="O427" i="5" s="1"/>
  <c r="N428" i="5"/>
  <c r="O428" i="5" s="1"/>
  <c r="N429" i="5"/>
  <c r="O429" i="5" s="1"/>
  <c r="N430" i="5"/>
  <c r="O430" i="5" s="1"/>
  <c r="N431" i="5"/>
  <c r="O431" i="5" s="1"/>
  <c r="N432" i="5"/>
  <c r="O432" i="5" s="1"/>
  <c r="N433" i="5"/>
  <c r="O433" i="5" s="1"/>
  <c r="N434" i="5"/>
  <c r="O434" i="5" s="1"/>
  <c r="N435" i="5"/>
  <c r="O435" i="5" s="1"/>
  <c r="N436" i="5"/>
  <c r="O436" i="5" s="1"/>
  <c r="N437" i="5"/>
  <c r="O437" i="5" s="1"/>
  <c r="N438" i="5"/>
  <c r="O438" i="5" s="1"/>
  <c r="N452" i="5"/>
  <c r="O452" i="5" s="1"/>
  <c r="N453" i="5"/>
  <c r="O453" i="5" s="1"/>
  <c r="N454" i="5"/>
  <c r="O454" i="5" s="1"/>
  <c r="N455" i="5"/>
  <c r="O455" i="5" s="1"/>
  <c r="N456" i="5"/>
  <c r="O456" i="5" s="1"/>
  <c r="N457" i="5"/>
  <c r="O457" i="5" s="1"/>
  <c r="N458" i="5"/>
  <c r="O458" i="5" s="1"/>
  <c r="N459" i="5"/>
  <c r="O459" i="5" s="1"/>
  <c r="N460" i="5"/>
  <c r="O460" i="5" s="1"/>
  <c r="N461" i="5"/>
  <c r="O461" i="5" s="1"/>
  <c r="N465" i="5"/>
  <c r="O465" i="5" s="1"/>
  <c r="N469" i="5"/>
  <c r="O469" i="5" s="1"/>
  <c r="N471" i="5"/>
  <c r="O471" i="5" s="1"/>
  <c r="N472" i="5"/>
  <c r="O472" i="5" s="1"/>
  <c r="N474" i="5"/>
  <c r="O474" i="5" s="1"/>
  <c r="N475" i="5"/>
  <c r="O475" i="5" s="1"/>
  <c r="N476" i="5"/>
  <c r="O476" i="5" s="1"/>
  <c r="N477" i="5"/>
  <c r="O477" i="5" s="1"/>
  <c r="N478" i="5"/>
  <c r="O478" i="5" s="1"/>
  <c r="N479" i="5"/>
  <c r="O479" i="5" s="1"/>
  <c r="N480" i="5"/>
  <c r="O480" i="5" s="1"/>
  <c r="N481" i="5"/>
  <c r="O481" i="5" s="1"/>
  <c r="N482" i="5"/>
  <c r="O482" i="5" s="1"/>
  <c r="N483" i="5"/>
  <c r="O483" i="5" s="1"/>
  <c r="N484" i="5"/>
  <c r="O484" i="5" s="1"/>
  <c r="N485" i="5"/>
  <c r="O485" i="5" s="1"/>
  <c r="N486" i="5"/>
  <c r="O486" i="5" s="1"/>
  <c r="N487" i="5"/>
  <c r="O487" i="5" s="1"/>
  <c r="N488" i="5"/>
  <c r="O488" i="5" s="1"/>
  <c r="N489" i="5"/>
  <c r="O489" i="5" s="1"/>
  <c r="N492" i="5"/>
  <c r="O492" i="5" s="1"/>
  <c r="N493" i="5"/>
  <c r="O493" i="5" s="1"/>
  <c r="N495" i="5"/>
  <c r="O495" i="5" s="1"/>
  <c r="N496" i="5"/>
  <c r="O496" i="5" s="1"/>
  <c r="N497" i="5"/>
  <c r="O497" i="5" s="1"/>
  <c r="N498" i="5"/>
  <c r="O498" i="5" s="1"/>
  <c r="N499" i="5"/>
  <c r="O499" i="5" s="1"/>
  <c r="N500" i="5"/>
  <c r="O500" i="5" s="1"/>
  <c r="N501" i="5"/>
  <c r="O501" i="5" s="1"/>
  <c r="N504" i="5"/>
  <c r="O504" i="5" s="1"/>
  <c r="N505" i="5"/>
  <c r="O505" i="5" s="1"/>
  <c r="N506" i="5"/>
  <c r="O506" i="5" s="1"/>
  <c r="N507" i="5"/>
  <c r="O507" i="5" s="1"/>
  <c r="N508" i="5"/>
  <c r="O508" i="5" s="1"/>
  <c r="N327" i="5"/>
  <c r="O327" i="5" s="1"/>
  <c r="N328" i="5"/>
  <c r="O328" i="5" s="1"/>
  <c r="N329" i="5"/>
  <c r="O329" i="5" s="1"/>
  <c r="N330" i="5"/>
  <c r="O330" i="5" s="1"/>
  <c r="N331" i="5"/>
  <c r="O331" i="5" s="1"/>
  <c r="N332" i="5"/>
  <c r="O332" i="5" s="1"/>
  <c r="N333" i="5"/>
  <c r="O333" i="5" s="1"/>
  <c r="N334" i="5"/>
  <c r="O334" i="5" s="1"/>
  <c r="N335" i="5"/>
  <c r="O335" i="5" s="1"/>
  <c r="N336" i="5"/>
  <c r="O336" i="5" s="1"/>
  <c r="N337" i="5"/>
  <c r="O337" i="5" s="1"/>
  <c r="N338" i="5"/>
  <c r="O338" i="5" s="1"/>
  <c r="N315" i="5"/>
  <c r="O315" i="5" s="1"/>
  <c r="N316" i="5"/>
  <c r="O316" i="5" s="1"/>
  <c r="N317" i="5"/>
  <c r="O317" i="5" s="1"/>
  <c r="N284" i="5"/>
  <c r="O284" i="5" s="1"/>
  <c r="N285" i="5"/>
  <c r="O285" i="5" s="1"/>
  <c r="N286" i="5"/>
  <c r="O286" i="5" s="1"/>
  <c r="N287" i="5"/>
  <c r="O287" i="5" s="1"/>
  <c r="N288" i="5"/>
  <c r="O288" i="5" s="1"/>
  <c r="N289" i="5"/>
  <c r="O289" i="5" s="1"/>
  <c r="N290" i="5"/>
  <c r="O290" i="5" s="1"/>
  <c r="N291" i="5"/>
  <c r="O291" i="5" s="1"/>
  <c r="N295" i="5"/>
  <c r="O295" i="5" s="1"/>
  <c r="N296" i="5"/>
  <c r="O296" i="5" s="1"/>
  <c r="N297" i="5"/>
  <c r="O297" i="5" s="1"/>
  <c r="N298" i="5"/>
  <c r="O298" i="5" s="1"/>
  <c r="N299" i="5"/>
  <c r="O299" i="5" s="1"/>
  <c r="N300" i="5"/>
  <c r="O300" i="5" s="1"/>
  <c r="N301" i="5"/>
  <c r="O301" i="5" s="1"/>
  <c r="N302" i="5"/>
  <c r="O302" i="5" s="1"/>
  <c r="N303" i="5"/>
  <c r="O303" i="5" s="1"/>
  <c r="N304" i="5"/>
  <c r="O304" i="5" s="1"/>
  <c r="N305" i="5"/>
  <c r="O305" i="5" s="1"/>
  <c r="N306" i="5"/>
  <c r="O306" i="5" s="1"/>
  <c r="N307" i="5"/>
  <c r="O307" i="5" s="1"/>
  <c r="N308" i="5"/>
  <c r="O308" i="5" s="1"/>
  <c r="N309" i="5"/>
  <c r="O309" i="5" s="1"/>
  <c r="N310" i="5"/>
  <c r="O310" i="5" s="1"/>
  <c r="N311" i="5"/>
  <c r="O311" i="5" s="1"/>
  <c r="N312" i="5"/>
  <c r="O312" i="5" s="1"/>
  <c r="N313" i="5"/>
  <c r="O313" i="5" s="1"/>
  <c r="N314" i="5"/>
  <c r="O314" i="5" s="1"/>
  <c r="N318" i="5"/>
  <c r="O318" i="5" s="1"/>
  <c r="N319" i="5"/>
  <c r="O319" i="5" s="1"/>
  <c r="N320" i="5"/>
  <c r="O320" i="5" s="1"/>
  <c r="N321" i="5"/>
  <c r="O321" i="5" s="1"/>
  <c r="N322" i="5"/>
  <c r="O322" i="5" s="1"/>
  <c r="N323" i="5"/>
  <c r="O323" i="5" s="1"/>
  <c r="N324" i="5"/>
  <c r="O324" i="5" s="1"/>
  <c r="N273" i="5"/>
  <c r="O273" i="5" s="1"/>
  <c r="N274" i="5"/>
  <c r="O274" i="5" s="1"/>
  <c r="N275" i="5"/>
  <c r="O275" i="5" s="1"/>
  <c r="N277" i="5"/>
  <c r="O277" i="5" s="1"/>
  <c r="N278" i="5"/>
  <c r="O278" i="5" s="1"/>
  <c r="N279" i="5"/>
  <c r="O279" i="5" s="1"/>
  <c r="N267" i="5"/>
  <c r="O267" i="5" s="1"/>
  <c r="N268" i="5"/>
  <c r="O268" i="5" s="1"/>
  <c r="N269" i="5"/>
  <c r="O269" i="5" s="1"/>
  <c r="G161" i="5" l="1"/>
  <c r="I161" i="5" s="1"/>
  <c r="G159" i="5"/>
  <c r="I159" i="5" s="1"/>
  <c r="G156" i="5"/>
  <c r="I156" i="5" s="1"/>
  <c r="G152" i="5"/>
  <c r="I152" i="5" s="1"/>
  <c r="G148" i="5"/>
  <c r="I148" i="5" s="1"/>
  <c r="G145" i="5"/>
  <c r="I145" i="5" s="1"/>
  <c r="G90" i="5"/>
  <c r="I90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12843B-0BB0-42E2-A078-0968DD4E3C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<sst xmlns="http://schemas.openxmlformats.org/spreadsheetml/2006/main" count="5285" uniqueCount="671">
  <si>
    <t>STT</t>
  </si>
  <si>
    <t>SKU</t>
  </si>
  <si>
    <t>Tên SP</t>
  </si>
  <si>
    <t>Tình trạng sản phẩm</t>
  </si>
  <si>
    <t>SL thực nhận</t>
  </si>
  <si>
    <t>Thực phẩm bổ sung GILAA (5K COLLAGEN INNER BOOSTER WITH PEONY, 20g x 15), hộp 15 gói</t>
  </si>
  <si>
    <t>Son môi GLAMRR Q (LONG WEAR LIP CREAM #01 GLAD DAY, 5g)</t>
  </si>
  <si>
    <t>Son môi GLAMRR Q (LONG WEAR LIP CREAM #02 LOVELY DAY, 5g)</t>
  </si>
  <si>
    <t>Son môi GLAMRR Q (LONG WEAR LIP CREAM #03 SUNSHINE DAY, 5g)</t>
  </si>
  <si>
    <t>Son môi GLAMRR Q (LONG WEAR LIP CREAM #04 FIRST DAY, 5g)</t>
  </si>
  <si>
    <t>Son môi GLAMRR Q (LONG WEAR LIP CREAM #05 GLOOMY DAY, 5g)</t>
  </si>
  <si>
    <t>Son môi GLAMRR Q (LONG WEAR LIP CREAM #06 RAINY DAY, 5g)</t>
  </si>
  <si>
    <t>Son môi GLAMRR Q (LONG WEAR LIP CREAM #07 RED-LETTER DAY, 5g)</t>
  </si>
  <si>
    <t>Son môi GLAMRR Q (LONG WEAR LIP CREAM #08 TAKE A SIP, 5g)</t>
  </si>
  <si>
    <t>Son môi GLAMRR Q (LONG WEAR LIP CREAM #09 HEI HEI, 5g)</t>
  </si>
  <si>
    <t>Son môi GLAMRR Q (LONG WEAR LIP CREAM #10 MAY BEAUTY, 5g)</t>
  </si>
  <si>
    <t>Son môi GLAMRR Q (LONG WEAR LIP CREAM #11 SET SAIL, 5g)</t>
  </si>
  <si>
    <t>Son môi GLAMRR Q (LONG WEAR LIP CREAM #12 LAVISH, 5g)</t>
  </si>
  <si>
    <t>Son môi GLAMRR Q (LONG WEAR LIP CREAM #13 CURSE REVERSE, 5g)</t>
  </si>
  <si>
    <t>Phấn nước trang điểm GLAMRR Q (VEGAN SUPER GLOW CUSHION #01 LIGHT BEIGE, 15g)</t>
  </si>
  <si>
    <t>Phấn nước trang điểm GLAMRR Q (VEGAN SUPER GLOW CUSHION #02 NATURAL BEIGE, 15g)</t>
  </si>
  <si>
    <t>Mặt nạ ngủ môi GLAMRR Q (VEGAN B5 SUPER LIP SLEEPING MASK, 10ml)</t>
  </si>
  <si>
    <t>Son môi GLAMRR Q (V​E​G​A​N S​U​P​E​R L​I​P B​A​L​M 0​4 O​'​P​E​A​C​H, 4.5g)</t>
  </si>
  <si>
    <t>Phấn nước trang điểm GLAMRR Q (LONG WEAR DD CUSHION #01 LIGHT BEIGE, 13g)</t>
  </si>
  <si>
    <t>Phấn nước trang điểm GLAMRR Q (LONG WEAR DD CUSHION #02 NATURAL BEIGE, 13g)</t>
  </si>
  <si>
    <t>Phấn nước trang điểm GLAMRR Q (VEGAN SUPER COVER CUSHION #01 LIGHT BEIGE, 15g)</t>
  </si>
  <si>
    <t>Phấn nước trang điểm GLAMRR Q (VEGAN SUPER COVER CUSHION #02 NATURAL BEIGE, 15g)</t>
  </si>
  <si>
    <t>-</t>
  </si>
  <si>
    <t>bao bì bị bạc màu</t>
  </si>
  <si>
    <t>bao bì bị cấn móp</t>
  </si>
  <si>
    <t>sản phẩm nguyên vẹn</t>
  </si>
  <si>
    <t>% hạn sản phẩm còn lại</t>
  </si>
  <si>
    <t>Ngày làm chuẩn</t>
  </si>
  <si>
    <t>HSD còn lại (tháng)</t>
  </si>
  <si>
    <t>bao bì không có in date/lot</t>
  </si>
  <si>
    <t>HSD tiêu chuẩn (tháng)</t>
  </si>
  <si>
    <t>8809203078210</t>
  </si>
  <si>
    <t>Thực phẩm bổ sung GILAA (5K COLLAGEN BRIGHT BOOSTER WITH SAFFRON, 20g x 15), hộp 15 gói</t>
  </si>
  <si>
    <t>8809491946154</t>
  </si>
  <si>
    <t>bao bì bạc màu</t>
  </si>
  <si>
    <t>8809491946161</t>
  </si>
  <si>
    <t>8809491946178</t>
  </si>
  <si>
    <t>8809491946185</t>
  </si>
  <si>
    <t>8809491946192</t>
  </si>
  <si>
    <t>8809491946208</t>
  </si>
  <si>
    <t>8809491946215</t>
  </si>
  <si>
    <t>8809491946222</t>
  </si>
  <si>
    <t>cấn móp bao bì</t>
  </si>
  <si>
    <t>8809491946239</t>
  </si>
  <si>
    <t>8809491946246</t>
  </si>
  <si>
    <t>8809491946253</t>
  </si>
  <si>
    <t>8809491946260</t>
  </si>
  <si>
    <t>8809491946277</t>
  </si>
  <si>
    <t>8809526841393</t>
  </si>
  <si>
    <t>mờ date</t>
  </si>
  <si>
    <t>8809526841409</t>
  </si>
  <si>
    <t>8809563069910</t>
  </si>
  <si>
    <t>8809783326770</t>
  </si>
  <si>
    <t>Son môi GLAMRR Q (V​E​G​A​N S​U​P​E​R L​I​P B​A​L​M 0​0 O​R​A​N​G​I​E, 4.5g)</t>
  </si>
  <si>
    <t>8809783326787</t>
  </si>
  <si>
    <t>Son môi GLAMRR Q (V​E​G​A​N S​U​P​E​R L​I​P B​A​L​M 0​1 C​H​E​R​I​E, 4.5g)</t>
  </si>
  <si>
    <t>8809783326794</t>
  </si>
  <si>
    <t>Son môi GLAMRR Q (V​E​G​A​N S​U​P​E​R L​I​P B​A​L​M 0​2 A​P​P​L​E​-​Y, 4.5g)</t>
  </si>
  <si>
    <t>8809783326800</t>
  </si>
  <si>
    <t>Son môi GLAMRR Q (V​E​G​A​N S​U​P​E​R L​I​P B​A​L​M 0​3 G​R​A​P​E​F​U​L, 4.5g)</t>
  </si>
  <si>
    <t>8809783326817</t>
  </si>
  <si>
    <t>8809783326824</t>
  </si>
  <si>
    <t>Son môi GLAMRR Q (V​E​G​A​N S​U​P​E​R L​I​P B​A​L​M 0​5 P​L​U​M​'​D, 4.5g)</t>
  </si>
  <si>
    <t>8809864752238</t>
  </si>
  <si>
    <t>8809864752245</t>
  </si>
  <si>
    <t>8809875904862</t>
  </si>
  <si>
    <t>8809875904879</t>
  </si>
  <si>
    <t>sản phẩm bạc màu bao bì</t>
  </si>
  <si>
    <t>Tháng 10</t>
  </si>
  <si>
    <t>Tháng 9</t>
  </si>
  <si>
    <t>Tháng 8</t>
  </si>
  <si>
    <t>Tháng 11</t>
  </si>
  <si>
    <t>Tháng 12</t>
  </si>
  <si>
    <t>Guardian</t>
  </si>
  <si>
    <t>sản phẩm bị lỗi</t>
  </si>
  <si>
    <t>Tháng phát sinh</t>
  </si>
  <si>
    <t>Mộc Beautiful</t>
  </si>
  <si>
    <t>Mã tham chiếu</t>
  </si>
  <si>
    <t>Ghi chú</t>
  </si>
  <si>
    <t>Xịt khóa nền GLAMRR Q (VEGAN SUPER STAY MAKE UP FIXER 02 DEWY GLOW, 130ml)</t>
  </si>
  <si>
    <t>B2B</t>
  </si>
  <si>
    <t>https://workflow.base.vn/job/3522933</t>
  </si>
  <si>
    <t>https://workflow.base.vn/job/3404431</t>
  </si>
  <si>
    <t>https://workflow.base.vn/job/3474100</t>
  </si>
  <si>
    <t>Xịt thơm cơ thể DE MEMORIA (BODY MIST #01 FIRST SNOW, 50ml)</t>
  </si>
  <si>
    <t>https://workflow.base.vn/job/3556748</t>
  </si>
  <si>
    <t>NGÀY CẬP NHẬT</t>
  </si>
  <si>
    <t>BARCODE</t>
  </si>
  <si>
    <t>TÊN GỌI CHÍNH THỨC CỦA SẢN PHẨM</t>
  </si>
  <si>
    <t>ĐƠN VỊ TÍNH</t>
  </si>
  <si>
    <t>KHỐI LƯỢNG (GRAM)</t>
  </si>
  <si>
    <t>GIÁ BÁN LẺ THƯỜNG NIÊN (đã bao gồm VAT)
(VNĐ)</t>
  </si>
  <si>
    <t>TÌNH TRẠNG</t>
  </si>
  <si>
    <t>ND TRƯỚC THAY ĐỔI</t>
  </si>
  <si>
    <r>
      <rPr>
        <b/>
        <sz val="12"/>
        <color rgb="FF000000"/>
        <rFont val="Times New Roman"/>
        <family val="1"/>
      </rPr>
      <t xml:space="preserve">MỤC ĐÍCH SỬ DỤNG
</t>
    </r>
    <r>
      <rPr>
        <i/>
        <sz val="12"/>
        <color rgb="FF000000"/>
        <rFont val="Times New Roman"/>
        <family val="1"/>
      </rPr>
      <t xml:space="preserve">(Bán/ Quà tặng/ Cả bán và tặng)
</t>
    </r>
    <r>
      <rPr>
        <b/>
        <sz val="12"/>
        <color rgb="FF000000"/>
        <rFont val="Times New Roman"/>
        <family val="1"/>
      </rPr>
      <t>Chỉ điền với sản phẩm minisize và vật phẩm</t>
    </r>
  </si>
  <si>
    <t>GHI CHÚ</t>
  </si>
  <si>
    <t>Tinh chất dưỡng da AESTHENIA (PEPTIDE BIFIDA TONING VITAL AMPOULE, 35ml)</t>
  </si>
  <si>
    <t>Hộp</t>
  </si>
  <si>
    <t>Tạo mới</t>
  </si>
  <si>
    <t>Tinh chất dưỡng da AESTHENIA (PEPTIDE HYALURONIC TENSION S.O.S AMPOULE, 35ml)</t>
  </si>
  <si>
    <t>Ngưng kinh doanh</t>
  </si>
  <si>
    <t>Tinh chất dưỡng da AESTHENIA (PEPTIDE MARINE COLLAGEN CALMING AQUA AMPOULE, 35ml)</t>
  </si>
  <si>
    <t>Nước hoa DE MEMORIA (SPELLO #01, 30ml)</t>
  </si>
  <si>
    <t>Giá cũ: 390.000</t>
  </si>
  <si>
    <t>Bán</t>
  </si>
  <si>
    <t>05/02/2025 Update lại giá</t>
  </si>
  <si>
    <t>Nước hoa DE MEMORIA (VAL DE LOIRE #02, 30ml)</t>
  </si>
  <si>
    <t>Nước hoa DE MEMORIA (GRANADA #03, 30ml)</t>
  </si>
  <si>
    <t>Nước hoa DE MEMORIA (DRESDEN #04, 30ml)</t>
  </si>
  <si>
    <t>Nước hoa DE MEMORIA (MONTPELLIER #05, 30ml)</t>
  </si>
  <si>
    <t>Nước hoa DE MEMORIA (GRASSE #06, 30ml)</t>
  </si>
  <si>
    <t>Cả bán và tặng</t>
  </si>
  <si>
    <t>10/01/2025 Update lại giá và mục đích sử dụng</t>
  </si>
  <si>
    <t>Phấn nước trang điểm chưa nén GILAA (LONG WEAR DD CUSHION #01 LIGHT BEIGE, 13g)</t>
  </si>
  <si>
    <t>Phấn nước trang điểm chưa nén GILAA (LONG WEAR DD CUSHION #02 NATURAL BEIGE, 13g)</t>
  </si>
  <si>
    <t>Son môi GILAA (LONG WEAR LIP CREAM #01 GLAD DAY, 5g)</t>
  </si>
  <si>
    <t>Son môi GILAA (LONG WEAR LIP CREAM #02 LOVELY DAY, 5g)</t>
  </si>
  <si>
    <t>Son môi GILAA (LONG WEAR LIP CREAM #03 SUNSHINE DAY, 5g)</t>
  </si>
  <si>
    <t>Son môi GILAA (LONG WEAR LIP CREAM #04 FIRST DAY, 5g)</t>
  </si>
  <si>
    <t>Son môi GILAA (LONG WEAR LIP CREAM #05 GLOOMY DAY, 5g)</t>
  </si>
  <si>
    <t>Son môi GILAA (LONG WEAR LIP CREAM #06 RAINY DAY, 5g)</t>
  </si>
  <si>
    <t>Son môi GILAA (LONG WEAR LIP CREAM #07 RED-LETTER DAY, 5g)</t>
  </si>
  <si>
    <t>Son môi GILAA (LONG WEAR LIP CREAM #01 GLAD DAY, 1.7g)</t>
  </si>
  <si>
    <t>Kênh official để giá niêm yết treo bán</t>
  </si>
  <si>
    <t>Son môi GILAA (LONG WEAR LIP CREAM #02 LOVELY DAY, 1.7g)</t>
  </si>
  <si>
    <t>Son môi GILAA (LONG WEAR LIP CREAM #04 FIRST DAY, 1.7g)</t>
  </si>
  <si>
    <t>Son môi GILAA (LONG WEAR LIP CREAM #08 TAKE A SIP, 5g)</t>
  </si>
  <si>
    <t>Son môi GILAA (LONG WEAR LIP CREAM #09 HEI HEI, 5g)</t>
  </si>
  <si>
    <t>Son môi GILAA (LONG WEAR LIP CREAM #10 MAY BEAUTY, 5g)</t>
  </si>
  <si>
    <t>Son môi GILAA (LONG WEAR LIP CREAM #11 SET SAIL, 5g)</t>
  </si>
  <si>
    <t>Son môi GILAA (LONG WEAR LIP CREAM #12 LAVISH, 5g)</t>
  </si>
  <si>
    <t>Son môi GILAA (LONG WEAR LIP CREAM #13 CURSE REVERSE, 5g)</t>
  </si>
  <si>
    <t>Son môi GILAA (LONG WEAR LIP CREAM #08 TAKE A SIP, 5g), bản giới hạn</t>
  </si>
  <si>
    <t>Son môi GILAA (LONG WEAR LIP CREAM #09 HEI HEI, 5g), bản giới hạn</t>
  </si>
  <si>
    <t>Son môi GILAA (LONG WEAR LIP CREAM #10 MAY BEAUTY, 5g), bản giới hạn</t>
  </si>
  <si>
    <t>Son môi GILAA (LONG WEAR LIP CREAM #11 SET SAIL, 5g), bản giới hạn</t>
  </si>
  <si>
    <t>Son môi GILAA (LONG WEAR LIP CREAM #12 LAVISH, 5g), bản giới hạn</t>
  </si>
  <si>
    <t>Son môi GILAA (LONG WEAR LIP CREAM #13 CURSE REVERSE, 5g), bản giới hạn</t>
  </si>
  <si>
    <t>Son môi GILAA (PLUMPING LIP SERUM #00 LIP PLUMPER, 3.8g)</t>
  </si>
  <si>
    <t>Son môi GILAA (PLUMPING LIP SERUM #01 ATHENA, 3.8g)</t>
  </si>
  <si>
    <t>Son môi GILAA (PLUMPING LIP SERUM #02 VENUS, 3.8g)</t>
  </si>
  <si>
    <t>Son môi GILAA (PLUMPING LIP SERUM #03 HESTIA, 3.8g)</t>
  </si>
  <si>
    <t>Son môi GILAA (PLUMPING LIP SERUM #04 HERA, 3.8g)</t>
  </si>
  <si>
    <t>Son môi GILAA (PLUMPING LIP SERUM #05 ARTEMIS, 3.8g)</t>
  </si>
  <si>
    <t>Son môi GILAA (PLUMPING LIP SERUM #06 KORE, 3.8g)</t>
  </si>
  <si>
    <t>Tẩy tế bào chết môi LOVCOV (BONG BONG LIP MASK, 12g)</t>
  </si>
  <si>
    <t>Sữa rửa mặt GILAA (PLANT SERUM CLEANSER WITH BITTER MELON + BHA, 160g)</t>
  </si>
  <si>
    <t>Sữa rửa mặt GILAA (PLANT SERUM CLEANSER WITH BITTER MELON + BHA, 23g)</t>
  </si>
  <si>
    <t>Sữa rửa mặt GILAA (PLANT SERUM CLEANSER WITH SAFFRON EXTRACT, 160g)</t>
  </si>
  <si>
    <t>Sữa rửa mặt GILAA (PLANT SERUM CLEANSER WITH SAFFRON EXTRACT, 23g)</t>
  </si>
  <si>
    <t>8809133684932-2</t>
  </si>
  <si>
    <t>Thực phẩm bổ sung GILAA (PREMIUM SAFFRON COLLAGEN, 2g x 01), 01 gói</t>
  </si>
  <si>
    <t>Gói</t>
  </si>
  <si>
    <t>Quà tặng</t>
  </si>
  <si>
    <t>Thực phẩm bổ sung GILAA (PREMIUM SAFFRON COLLAGEN, 2g x 10), bịch 10 gói</t>
  </si>
  <si>
    <t>Bịch</t>
  </si>
  <si>
    <r>
      <rPr>
        <sz val="12"/>
        <color rgb="FF000000"/>
        <rFont val="Times New Roman"/>
        <family val="1"/>
      </rPr>
      <t xml:space="preserve">Mã cũ: 8809133684932-1
</t>
    </r>
    <r>
      <rPr>
        <sz val="12"/>
        <color rgb="FFFF0000"/>
        <rFont val="Times New Roman"/>
        <family val="1"/>
      </rPr>
      <t>Mục đích cũ: Quà tặng</t>
    </r>
  </si>
  <si>
    <r>
      <rPr>
        <sz val="12"/>
        <color rgb="FF000000"/>
        <rFont val="Times New Roman"/>
        <family val="1"/>
      </rPr>
      <t xml:space="preserve">06/04/2025 cập nhật lại mã barcode
</t>
    </r>
    <r>
      <rPr>
        <sz val="12"/>
        <color rgb="FFFF0000"/>
        <rFont val="Times New Roman"/>
        <family val="1"/>
      </rPr>
      <t>22/07/2025 cập nhật lại mục đích sủ dụng</t>
    </r>
  </si>
  <si>
    <t>Thực phẩm bổ sung GILAA (PREMIUM SAFFRON COLLAGEN, 2g x 60), hộp 60 gói</t>
  </si>
  <si>
    <t>Giá cũ: 495.000</t>
  </si>
  <si>
    <t>Bông phấn đánh kem nền GILAA (RUBYCELL ANTIBACTERIAL PUFF)</t>
  </si>
  <si>
    <t>Kem dưỡng da GILAA (SAFFRON TONE UP DAY CREAM, 40ml)</t>
  </si>
  <si>
    <t>Nước cân bằng da GILAA (SAFFRON TONE UP REPAIR BUBBLE TONER, 100ml)</t>
  </si>
  <si>
    <t>Kem dưỡng da GILAA (SAFFRON TONE UP REPAIR CREAM, 50ml)</t>
  </si>
  <si>
    <t>Tinh chất dưỡng da GILAA (SAFFRON TONE UP REPAIR SERUM, 20ml)</t>
  </si>
  <si>
    <t>Nước hoa PERFUME HOLIC (PINKER BELL KOREA 01 RAINY DAY, 30ml)</t>
  </si>
  <si>
    <t>Nước hoa PERFUME HOLIC (PINKER BELL KOREA 02 FIRST DAY, 30ml)</t>
  </si>
  <si>
    <t>Nước hoa PERFUME HOLIC (PINKER BELL KOREA 03 GLOOMY DAY, 30ml)</t>
  </si>
  <si>
    <t>Nước hoa PERFUME HOLIC (PINKER BELL KOREA 04 LOVEY DAY, 30ml)</t>
  </si>
  <si>
    <t>Nước hoa PERFUME HOLIC (PINKER BELL KOREA 05 SUNSHINE DAY, 30ml)</t>
  </si>
  <si>
    <t>Nước hoa PERFUME HOLIC (PINKER BELL KOREA 06 GLAD DAY, 30ml)</t>
  </si>
  <si>
    <t>Nước hoa PERFUME HOLIC (PINKER BELL KOREA 07 SOME DAY, 30ml)</t>
  </si>
  <si>
    <t>Túi vải đeo vai GILAA</t>
  </si>
  <si>
    <t>Cái</t>
  </si>
  <si>
    <t>Bình nước thuỷ tinh GILAA</t>
  </si>
  <si>
    <t>Gương vuông cầm tay GILAA</t>
  </si>
  <si>
    <t>Gương tròn GILAA</t>
  </si>
  <si>
    <t>Hộp quà GILAA SKINCARE</t>
  </si>
  <si>
    <t>Túi vải cầm tay TRENDING BOX</t>
  </si>
  <si>
    <t>Túi vải đeo vai TRENDING BOX</t>
  </si>
  <si>
    <t>Hộp quà GILAA MAKE-UP</t>
  </si>
  <si>
    <t>Túi lưới cầm tay GILAA</t>
  </si>
  <si>
    <t>Hộp quà GILAA LIP SERUM</t>
  </si>
  <si>
    <t>Hộp quà DE MEMORIA</t>
  </si>
  <si>
    <t>Ngừng sử dụng</t>
  </si>
  <si>
    <t>Hộp quà GILAA SUMMER</t>
  </si>
  <si>
    <t>Khăn BANADA</t>
  </si>
  <si>
    <t>Dây cột tóc CRUNCHIES</t>
  </si>
  <si>
    <t>Túi lưới GILAA MESH BAG</t>
  </si>
  <si>
    <t>Hộp quà GILAA LIP CREAM (RICH ROSIE)</t>
  </si>
  <si>
    <t>Hộp quà DE MEMORIA (Happy Holidays)</t>
  </si>
  <si>
    <t>Hộp quà GILAA PLANT SERUM CLEANSER</t>
  </si>
  <si>
    <t>Hộp quà COLLAB (GILAA &amp; DE MEMORIA)</t>
  </si>
  <si>
    <t>Nước hoa DE MEMORIA (HOIAN #07, 30ml)</t>
  </si>
  <si>
    <t>Giá cũ 390.000đ
Giá cũ 355.000đ</t>
  </si>
  <si>
    <t>06/06/2024 Update lại giá
10/01/2025 Update lại giá</t>
  </si>
  <si>
    <t>Nước hoa DE MEMORIA (IPOH #08, 30ml)</t>
  </si>
  <si>
    <t>Nước hoa DE MEMORIA (LAMPANG #09, 30ml)</t>
  </si>
  <si>
    <t>Nước hoa DE MEMORIA (JIUFEN #10, 30ml)</t>
  </si>
  <si>
    <t>Nước hoa DE MEMORIA (TAI O #11, 30ml)</t>
  </si>
  <si>
    <t>Nước hoa DE MEMORIA (BAGAN #12, 30ml)</t>
  </si>
  <si>
    <t>Nước hoa DE MEMORIA (HOIAN #07, 1.2ml)</t>
  </si>
  <si>
    <t>Nước hoa DE MEMORIA (IPOH #08, 1.2ml)</t>
  </si>
  <si>
    <t>Nước hoa DE MEMORIA (LAMPANG #09, 1.2ml)</t>
  </si>
  <si>
    <t>Nước hoa DE MEMORIA (JIUFEN #10, 1.2ml)</t>
  </si>
  <si>
    <t>Nước hoa DE MEMORIA (TAI O #11, 1.2ml)</t>
  </si>
  <si>
    <t>Nước hoa DE MEMORIA (BAGAN #12, 1.2ml)</t>
  </si>
  <si>
    <t>Tinh chất dưỡng da VEGICK (SUPER WHITENING SERUM, 30ml)</t>
  </si>
  <si>
    <t>Tinh chất dưỡng da VEGICK (SUPER CALMING SERUM, 30ml)</t>
  </si>
  <si>
    <t>Giá cũ: 330.000
Mục đích cũ: Bán</t>
  </si>
  <si>
    <t>18/07/2024 Update lại giá và mục đích sử dụng</t>
  </si>
  <si>
    <t>Tinh chất dưỡng da VEGICK (SUPER REPAIRING SERUM, 30ml)</t>
  </si>
  <si>
    <t>Giá cũ: 390.000
Mục đích cũ: Bán</t>
  </si>
  <si>
    <t>Tinh chất dưỡng da VEGICK (WHITENING SERUM, CALMING SERUM, REPAIRING SERUM, 1.5ml x 3)</t>
  </si>
  <si>
    <t>Bộ</t>
  </si>
  <si>
    <t>Hộp quà VEGICK SERUM</t>
  </si>
  <si>
    <t>Son môi GILAA (LONG WEAR LIP CREAM #08 TAKE A SIP, 1.7g)</t>
  </si>
  <si>
    <t>Hộp quà DE MEMORIA Ver2</t>
  </si>
  <si>
    <t>Nước cân bằng da GILAA (BITTER MELON BLEMISH REPAIR TONER, 140ml)</t>
  </si>
  <si>
    <t>Tinh chất dưỡng da GILAA (BITTER MELON BLEMISH REPAIR SERUM, 30ml)</t>
  </si>
  <si>
    <t>Kem dưỡng da GILAA (BITTER MELON BLEMISH REPAIR CREAM, 50ml)</t>
  </si>
  <si>
    <t>Tinh chất dưỡng da GILAA (BITTER MELON BLEMISH REPAIR SERUM, 5ml)</t>
  </si>
  <si>
    <t>Nước cân bằng da VEGICK (SUPERFOOD PHA + BHA PORE TONER, 210ml)</t>
  </si>
  <si>
    <t>Giá cũ: 279.000
Mục đích cũ: Bán</t>
  </si>
  <si>
    <t>11/07/2024 Update lại giá và mục đích sử dụng</t>
  </si>
  <si>
    <t>Kem dưỡng da VEGICK (SUPERFOOD + B5 MOISTURE CREAM, 50ml)</t>
  </si>
  <si>
    <t>Hộp quà GILAA BITTER MELON</t>
  </si>
  <si>
    <t>Tình trạng cũ: Tạo mới</t>
  </si>
  <si>
    <t>12/07/2024 Cập nhật lại tình trạng</t>
  </si>
  <si>
    <t>Gel dưỡng da GILAA (SAFFRON HEALTHY WHITE REPAIR GEL, 50ml)</t>
  </si>
  <si>
    <t>Nước cân bằng dưỡng da GILAA (SAFFRON HEALTHY WHITE BUBBLE TONER, 100ml)</t>
  </si>
  <si>
    <t>Tinh chất dưỡng da GILAA (SAFFRON HEALTHY WHITE VITA C AMPOULE, 30ml)</t>
  </si>
  <si>
    <t>Kem dưỡng da GILAA (SAFFRON HEALTHY WHITE TONE UP CREAM, 40ml)</t>
  </si>
  <si>
    <t>Gel dưỡng da GILAA (SAFFRON HEALTHY WHITE REPAIR GEL, 10ml)</t>
  </si>
  <si>
    <t>Nước cân bằng dưỡng da GILAA (SAFFRON HEALTHY WHITE BUBBLE TONER, 20ml)</t>
  </si>
  <si>
    <t>Tinh chất dưỡng da GILAA (SAFFRON HEALTHY WHITE VITA C AMPOULE, 5ml)</t>
  </si>
  <si>
    <t>Kem dưỡng da GILAA (SAFFRON HEALTHY WHITE TONE UP CREAM, 10ml)</t>
  </si>
  <si>
    <t>Túi bông tắm DE MEMORIA</t>
  </si>
  <si>
    <t>Sữa tắm DE MEMORIA (SCENTED BRIGHTENING BODY CLEANSER JASMINE ON MOON, 300ml)</t>
  </si>
  <si>
    <t>Giá cũ: 350.000</t>
  </si>
  <si>
    <t>01/07/2025 Update lại giá</t>
  </si>
  <si>
    <t>Sữa tắm DE MEMORIA (SCENTED BRIGHTENING BODY CLEANSER ROSE ON VENUS, 300ml)</t>
  </si>
  <si>
    <t>Sữa tắm DE MEMORIA (SCENTED BRIGHTENING BODY CLEANSER VANILLA ON MARS, 300ml)</t>
  </si>
  <si>
    <t>Sữa dưỡng thể DE MEMORIA (SCENTED WHITENING BODY LOTION JASMINE ON MOON, 300ml)</t>
  </si>
  <si>
    <t>Sữa dưỡng thể DE MEMORIA (SCENTED WHITENING BODY LOTION ROSE ON VENUS, 300ml)</t>
  </si>
  <si>
    <t>Sữa dưỡng thể DE MEMORIA (SCENTED WHITENING BODY LOTION VANILLA ON MARS, 300ml)</t>
  </si>
  <si>
    <t>Sữa rửa mặt VEGICK (S​U​P​E​R​F​O​O​D O​I​L T​O F​O​A​M D​O​U​B​L​E C​L​E​A​N​S​E​R, 195ml)</t>
  </si>
  <si>
    <t>Mặt nạ ngủ môi GILAA (VEGAN B5 SUPER LIP SLEEPING MASK, 10ml)</t>
  </si>
  <si>
    <t>Phấn nước trang điểm GILAA (VEGAN SUPER COVER CUSHION #01 LIGHT BEIGE, 15g)</t>
  </si>
  <si>
    <t>Phấn nước trang điểm GILAA (VEGAN SUPER COVER CUSHION #02 NATURAL BEIGE, 15g)</t>
  </si>
  <si>
    <t>Phấn nước trang điểm GILAA (VEGAN SUPER GLOW CUSHION #01 LIGHT BEIGE, 15g)</t>
  </si>
  <si>
    <t>Phấn nước trang điểm GILAA (VEGAN SUPER GLOW CUSHION #02 NATURAL BEIGE, 15g)</t>
  </si>
  <si>
    <t>Túi giấy GILAA VEGAN</t>
  </si>
  <si>
    <t>08/11/2022</t>
  </si>
  <si>
    <t>Hộp quà GILAA HEALTHY WHITE</t>
  </si>
  <si>
    <t>19/11/2022</t>
  </si>
  <si>
    <t>Túi quà DE MEMORIA BODY</t>
  </si>
  <si>
    <t>23/11/2022</t>
  </si>
  <si>
    <t>Bông tắm DE MEMORIA</t>
  </si>
  <si>
    <t>'8809203078210</t>
  </si>
  <si>
    <t>Giá cũ: ...
Giá cũ: 595.000</t>
  </si>
  <si>
    <t>14/03/2023 Update lại giá
05/02/2025 Update lại giá</t>
  </si>
  <si>
    <t>Giá cũ: ...
Giá cũ: 345.000</t>
  </si>
  <si>
    <t>Giá cũ: 395.000</t>
  </si>
  <si>
    <t>Giá cũ: ...
Giá cũ: 395.000</t>
  </si>
  <si>
    <t>Cập nhật giá</t>
  </si>
  <si>
    <t>Giá cũ: 199.000</t>
  </si>
  <si>
    <t>01/11/2025 Update lại giá</t>
  </si>
  <si>
    <t>Mục đích cũ: Bán</t>
  </si>
  <si>
    <t>12/07/2024 Cập nhật mục đích sử dụng</t>
  </si>
  <si>
    <t>8809203078210-1</t>
  </si>
  <si>
    <t>Thực phẩm bổ sung GILAA (5K COLLAGEN BRIGHT BOOSTER WITH SAFFRON, 20g x 01), 01 gói</t>
  </si>
  <si>
    <t>Giá cũ: 60.000</t>
  </si>
  <si>
    <t>Quà Tặng</t>
  </si>
  <si>
    <t>12/07/2024 Cập nhật lại giá</t>
  </si>
  <si>
    <t>8809203078227-1</t>
  </si>
  <si>
    <t>Thực phẩm bổ sung GILAA (5K COLLAGEN INNER BOOSTER WITH PEONY, 20g x 01), 01 gói</t>
  </si>
  <si>
    <t>Túi giấy GLAMRR Q</t>
  </si>
  <si>
    <t>Mã cũ: 0315909712132</t>
  </si>
  <si>
    <t>01/04/202 Cập nhật lại mã</t>
  </si>
  <si>
    <t>Hộp quà GILAA COLLAGEN 5K</t>
  </si>
  <si>
    <t>Giá cũ: 42.000
Mã cũ: 0315909712133</t>
  </si>
  <si>
    <t>12/07/2024 Cập nhật lại giá
01/04/202 Cập nhật lại mã</t>
  </si>
  <si>
    <t>Bông tắm DE MEMORIA ver2</t>
  </si>
  <si>
    <t>Giá cũ: 14.312
Mã cũ: 0315909712134</t>
  </si>
  <si>
    <t>Bông phấn kháng khuẩn GLAMRR Q (RUBYCELL ANTIBACTERIAL PUFF VEGAN)</t>
  </si>
  <si>
    <t>Bộ 3 sữa dưỡng thể DE MEMORIA (JASMINE ON MOON, ROSE ON VENUS, VANILLA ON MARS, 5ml x 3)</t>
  </si>
  <si>
    <t>Tình trạng cũ: Tạo mới
Tình trạng cũ: Ngừng sử dụng</t>
  </si>
  <si>
    <t>12/07/2024 Cập nhật lại tình trạng
01/10/2024 Cập nhật lại tình trạng</t>
  </si>
  <si>
    <t>Cọ son môi đầu tròn</t>
  </si>
  <si>
    <t>Giá cũ: 30.000
Mã cũ: 0315909712135</t>
  </si>
  <si>
    <t>12/07/2024 Cập nhật lại giá
01/04/2025 cập nhật lại mã Barcode</t>
  </si>
  <si>
    <t>Phấn phủ BAD PEACH (OIL LESS FUN MORE POWDER #01 OIL CLEAR, 4g)</t>
  </si>
  <si>
    <t>Giá cũ: 199.000
Mục đích cũ: Bán
Giá cũ: 159.000</t>
  </si>
  <si>
    <t>01/11/2023 Cập nhật lại giá
01/08/2024 Cập nhật lại giá và mục đích sử dụng
16/09/2024 Cập nhật lại giá</t>
  </si>
  <si>
    <t>Phấn phủ BAD PEACH (OIL LESS FUN MORE POWDER #02 BABY GLOW, 4g)</t>
  </si>
  <si>
    <t>Giá cũ: 199.000
Giá cũ: 159.000</t>
  </si>
  <si>
    <t>01/11/2023 Cập nhật lại giá
01/08/2024 Cập nhật lại giá
16/09/2024 Cập nhật lại giá và mục đích sử dụng</t>
  </si>
  <si>
    <t>Phấn phủ BAD PEACH (OIL LESS FUN MORE POWDER #03 BLUR COVER, 4g)</t>
  </si>
  <si>
    <t>Giá cũ: 199.000
Mục đích cũ: Bán
Giá cũ: 159.000
Giá cũ: 99.000</t>
  </si>
  <si>
    <t>01/11/2023 Cập nhật lại giá
01/08/2024 Cập nhật lại giá và mục đích sử dụng
24/08/2024 Cập nhật lại giá
16/09/2024 Cập nhật lại giá</t>
  </si>
  <si>
    <t>8809526841904-1</t>
  </si>
  <si>
    <t>Phấn phủ BAD PEACH (OIL LESS FUN MORE POWDER #03 BLUR COVER, 4g), not outbox</t>
  </si>
  <si>
    <t>01/11/2023 Cập nhật lại giá
16/09/2024 Cập nhật lại giá và mục đích sử dụng</t>
  </si>
  <si>
    <t>Cọ phấn phủ BAD PEACH</t>
  </si>
  <si>
    <t>Mã cũ: 0315909712136</t>
  </si>
  <si>
    <t>01/04/2025 cập nhật lại mã Barcode</t>
  </si>
  <si>
    <t>Vali BAD PEACH</t>
  </si>
  <si>
    <t>Mã cũ: 0315909712137</t>
  </si>
  <si>
    <t>Túi vải tote BAD PEACH</t>
  </si>
  <si>
    <t>Mã cũ: 0315909712138</t>
  </si>
  <si>
    <t>Bông phấn GLAMRR Q (TINY PUFF)</t>
  </si>
  <si>
    <t>Mã cũ: 0315909712139</t>
  </si>
  <si>
    <t>Kem chống nắng BAD PEACH (SUN LESS FUN MORE TONE UP UV CREAM, 50g)</t>
  </si>
  <si>
    <t>Giá cũ: 299.000
Giá cũ: 219.000</t>
  </si>
  <si>
    <t>01/11/2023 Update lại giá
01/08/2024: Cập nhật lại giá
16/09/2024 Cập nhật lại giá</t>
  </si>
  <si>
    <t>Kem chống nắng BAD PEACH (SUN LESS FUN MORE TONE UP UV CREAM, 10g)</t>
  </si>
  <si>
    <t>Giá cũ: 50.000
Mục đích cũ: Cả bán và tặng</t>
  </si>
  <si>
    <t>01/11/2023 Update lại giá
01/07/2024 Update lại giá
04/07/2024 Update mục đích sử dụng</t>
  </si>
  <si>
    <t>Kem dưỡng da mắt VEGICK (SUPER RETINOL YOUTH EYE CREAM WITH GINSENG, 15ml)</t>
  </si>
  <si>
    <t>Giá cũ: 490.000</t>
  </si>
  <si>
    <t>01/07/2024 Update lại giá</t>
  </si>
  <si>
    <t>Sữa rửa mặt ​VE​G​I​C​K (S​U​P​E​R​F​O​O​D O​I​L T​O F​O​A​M D​O​U​B​L​E C​L​E​A​N​S​E​R, 50ml)</t>
  </si>
  <si>
    <t>Nội dung trước khi đổi tại phần mục đích: Cả bán và tặng
Giá cũ: 150.000
Mục đích cũ: Quà tặng</t>
  </si>
  <si>
    <t>31/01/2024 Cập nhật mục đích
01/07/2024 Update lại giá
04/07/2024 Update mục đích sử dụng</t>
  </si>
  <si>
    <t>28/09/0202</t>
  </si>
  <si>
    <t>Bông tẩy trang GILAA (50 miếng/hộp)</t>
  </si>
  <si>
    <t>Giá cũ: 50.000
Mã cũ: 0315909712140</t>
  </si>
  <si>
    <t>12/07/2024 Cập nhật lại giá
01/04/2025 Cập nhật lại mã</t>
  </si>
  <si>
    <t>Bông tẩy trang GLAMRR Q (50 miếng/hộp)</t>
  </si>
  <si>
    <t>Giá cũ: 50.000
Mã cũ: 0315909712141</t>
  </si>
  <si>
    <t>Bông tẩy trang DE MEMORIA (50 miếng/hộp)</t>
  </si>
  <si>
    <t>Bông tẩy trang VEGICK (50 miếng/hộp)</t>
  </si>
  <si>
    <t>Mã cũ: 0315909712143</t>
  </si>
  <si>
    <t>01/04/2025 Cập nhật lại mã</t>
  </si>
  <si>
    <t>Máy massage mắt VEGICK (kèm pin AA)</t>
  </si>
  <si>
    <t>Mã cũ: 0315909712144</t>
  </si>
  <si>
    <t>Nước tẩy trang vùng mắt GLAMRR Q (VEGAN SUPER EYE REMOVER, 35ml)</t>
  </si>
  <si>
    <t>Chuốt mi GLAMRR Q (VEGAN SUPER STAY MASCARA, 7g)</t>
  </si>
  <si>
    <t>Kẻ mắt GLAMRR Q (VEGAN SUPER STAY EYELINER, 0.6g)</t>
  </si>
  <si>
    <t>Chì kẻ mày GLAMRR Q (VEGAN SUPER STAY BROW PENCIL #01 BROWN SUGAR, 0.08g)</t>
  </si>
  <si>
    <t>Chì kẻ mày GLAMRR Q (VEGAN SUPER STAY BROW PENCIL #02 GREY SMOKE, 0.08g)</t>
  </si>
  <si>
    <t>Xịt thơm cơ thể DE MEMORIA (BODY MIST #02 IN BLOSSOM, 50ml)</t>
  </si>
  <si>
    <t>Xịt thơm cơ thể DE MEMORIA (BODY MIST #03 POPCORN DATE, 50ml)</t>
  </si>
  <si>
    <t>Xịt thơm cơ thể DE MEMORIA (BODY MIST #04 HIS SHIRT, 50ml)</t>
  </si>
  <si>
    <t>Xịt thơm cơ thể DE MEMORIA (BODY MIST #03 POPCORN DATE, 10ml)</t>
  </si>
  <si>
    <t>Giá cũ: 150.000</t>
  </si>
  <si>
    <t>Lõi phấn nước trang điểm GLAMRR Q (LONG WEAR DD CUSHION #01 LIGHT BEIGE, 13g)</t>
  </si>
  <si>
    <t>Lõi phấn nước trang điểm GLAMRR Q (LONG WEAR DD CUSHION #02 NATURAL BEIGE, 13g)</t>
  </si>
  <si>
    <t>18/03/2024</t>
  </si>
  <si>
    <t>Chuốt mi MUDE (INSPIRE LONGLASH CURLING MASCARA 01 BLACK, 10ml)</t>
  </si>
  <si>
    <t>25/04/2025 Cập nhật lại tên sản phẩm</t>
  </si>
  <si>
    <t>Chuốt mi MUDE (INSPIRE LONGLASH CURLING MASCARA 02 BROWN, 10ml)</t>
  </si>
  <si>
    <t>Giá cũ: 295.000</t>
  </si>
  <si>
    <t>25/04/2025 Cập nhật lại tên sản phẩm
28/05/2025 Update lại giá</t>
  </si>
  <si>
    <t>Chuốt mi MUDE (INSPIRE VOLUME CURLING MASCARA 01 BLACK, 10ml)</t>
  </si>
  <si>
    <t>Chuốt mi MUDE (INSPIRE VOLUME CURLING MASCARA 02 BROWN, 10ml)</t>
  </si>
  <si>
    <t>Chuốt mi MUDE (INSPIRE SKINNY CURLING MASCARA 01 BLACK, 3ml)</t>
  </si>
  <si>
    <t>Chuốt mi MUDE (INSPIRE SKINNY CURLING MASCARA 02 BROWN, 3ml)</t>
  </si>
  <si>
    <t>Chuốt mi MUDE (INSPIRE SKINNY CURLING MASCARA 03 ESPRESSO, 3ml)</t>
  </si>
  <si>
    <t>Phấn má MUDE (FLUTTER BLUSHER 01 PIT A PAT, 5g)</t>
  </si>
  <si>
    <t>Giá cũ: 250.000</t>
  </si>
  <si>
    <t>Phấn má MUDE (FLUTTER BLUSHER 02 PITCH A PEACH, 5g)</t>
  </si>
  <si>
    <t>Phấn má MUDE (FLUTTER BLUSHER 04 MAUVE NOTE, 5g)</t>
  </si>
  <si>
    <t>Phấn má MUDE (FLUTTER BLUSHER 07 AFTERNOON CORAL, 5g)</t>
  </si>
  <si>
    <t>Phấn má MUDE (FLUTTER BLUSHER 10 HEAVEN PINK, 5g)</t>
  </si>
  <si>
    <t>Son môi MUDE (SOFT BLUR TINT 11 MAPLE, 3g)</t>
  </si>
  <si>
    <t>Giá cũ: 265.000</t>
  </si>
  <si>
    <t>Son môi MUDE (SOFT BLUR TINT 12 INSPIRE, 3g)</t>
  </si>
  <si>
    <t>Son môi MUDE (SOFT BLUR TINT 13 BERRY POT, 3g)</t>
  </si>
  <si>
    <t>Son môi MUDE (SOFT BLUR TINT 14 BURNT SIENNA, 3g)</t>
  </si>
  <si>
    <t>Nhíp lông mi MUDE</t>
  </si>
  <si>
    <t>Mục đích cũ: Cả bán và tặng
Giá cũ: 245,000</t>
  </si>
  <si>
    <t>04/07/2024 Update mục đích sử dụng
01/08/2024 Cập nhật lại giá</t>
  </si>
  <si>
    <t>Cọ môi MUDE</t>
  </si>
  <si>
    <t>Mục đích cũ: Cả bán và tặng
Giá cũ: 185,000
Mã mới: 0315909712145</t>
  </si>
  <si>
    <t>04/07/2024 Update mục đích sử dụng
01/08/2024 Cập nhật lại giá
01/04/2025 Cập nhật lại mã barcode</t>
  </si>
  <si>
    <t>Túi giấy MUDE</t>
  </si>
  <si>
    <t>Túi vải cao cấp GILAA</t>
  </si>
  <si>
    <t>Mục đích cũ: Cả bán và tặng
Giá cũ: 350,000
Mã cũ: 0315909712146</t>
  </si>
  <si>
    <t>01/08/2024 Cập nhật lại giá và mục đích sử dụng
01/04/2025 Cập nhật lại mã barcode</t>
  </si>
  <si>
    <t>Xịt thơm cơ thể DE MEMORIA (BODY MIST #01 FIRST SNOW, 10ml)</t>
  </si>
  <si>
    <t>Giá cũ: 150,000
Giá cũ: 100.000</t>
  </si>
  <si>
    <t>24/06/2024 Cập nhật giá sản phẩm
12/07/2024 Cập nhật giá sản phẩm</t>
  </si>
  <si>
    <t>Bông mút tam giác GLAMRR Q (TRIANGLE PUFF)</t>
  </si>
  <si>
    <t>Mã cũ: 0315909712147</t>
  </si>
  <si>
    <t>Cọ môi Silicone GLAMRR Q (SILICONE LIP BRUSH)</t>
  </si>
  <si>
    <t>7.5</t>
  </si>
  <si>
    <t>Mã cũ: 0315909712148</t>
  </si>
  <si>
    <t>Xịt khóa nền GLAMRR Q (VEGAN SUPER STAY MAKE UP FIXER 01 NATURAL BLUR, 50ml)</t>
  </si>
  <si>
    <t>Giá cũ: 325.000
Giá cũ: 345.000</t>
  </si>
  <si>
    <t>05/02/2025 Update lại giá
01/07/2025 Update lại giá
01/03/2026: Update lại giá</t>
  </si>
  <si>
    <t>Xịt khóa nền GLAMRR Q (VEGAN SUPER STAY MAKE UP FIXER 02 DEWY GLOW, 50ml)</t>
  </si>
  <si>
    <t>Thực phẩm bổ sung GILAA (Glow White Premium Glutathione C, 3g x 30), hộp 30 gói</t>
  </si>
  <si>
    <t>Giá cũ: 850.000</t>
  </si>
  <si>
    <t>8809545436532-1</t>
  </si>
  <si>
    <t>Thực phẩm bổ sung GILAA (Glow White Premium Glutathione C, 3g x 01), bịch 01 gói</t>
  </si>
  <si>
    <t>Xịt khóa nền GLAMRR Q (VEGAN SUPER STAY MAKE UP FIXER 01 NATURAL BLUR, 20ml)</t>
  </si>
  <si>
    <t>Xịt khóa nền GLAMRR Q (VEGAN SUPER STAY MAKE UP FIXER 02 DEWY GLOW, 20ml)</t>
  </si>
  <si>
    <t>Bảng phấn mắt MUDE (SHAWL MOMENT EYESHADOW PALETTE 01 WARM MEMORY)</t>
  </si>
  <si>
    <t>Bảng phấn mắt MUDE (SHAWL MOMENT EYESHADOW PALETTE 03 PEACH MEMORY)</t>
  </si>
  <si>
    <t>Bảng phấn mắt MUDE (SHAWL MOMENT EYESHADOW PALETTE 04 LILAC MEMORY)</t>
  </si>
  <si>
    <t>Bảng phấn mắt MUDE (SHAWL MOMENT EYESHADOW PALETTE 05 TOFFEE NUT LATTE)</t>
  </si>
  <si>
    <t>Son môi MUDE (SOFT BLUR TINT 12 INSPIRE, 1.8g)</t>
  </si>
  <si>
    <t>Bấm mi MUDE (EYELASH CURLER)</t>
  </si>
  <si>
    <t>Cọ chải lông mi và lông mày MUDE (DUAL EYELASH BRUSH)</t>
  </si>
  <si>
    <t>Túi đựng đồ cá nhân MUDE (MAUVE POUCH)</t>
  </si>
  <si>
    <t>Quạt giấy GLAMRR Q</t>
  </si>
  <si>
    <t>Mã cũ: 0315909712149</t>
  </si>
  <si>
    <t>Phấn nước trang điểm MUDE (SOFT SILKY FIT CUSHION #21 LIGHT BEIGE, 15g)</t>
  </si>
  <si>
    <t>Phấn nước trang điểm MUDE (SOFT SILKY FIT CUSHION #23 NATURAL BEIGE, 15g)</t>
  </si>
  <si>
    <t>Má Hồng Kem Căng Bóng GLAMRR Q (GLOW LASTING FRESH BLUSH #01 PINK SECRET, 3.8g)</t>
  </si>
  <si>
    <t>Giá cũ: 245.000</t>
  </si>
  <si>
    <t>Má Hồng Kem Căng Bóng GLAMRR Q (GLOW LASTING FRESH BLUSH #02 PEACH PLOT, 3.8g)</t>
  </si>
  <si>
    <t>Má Hồng Kem Căng Bóng GLAMRR Q (GLOW LASTING FRESH BLUSH #03 VIOLET DRAMA, 3.8g)</t>
  </si>
  <si>
    <t>Má Hồng Kem Căng Bóng GLAMRR Q (GLOW LASTING FRESH BLUSH #04 RED RUMOR, 3.8g)</t>
  </si>
  <si>
    <t>Túi vải DE MEMORIA</t>
  </si>
  <si>
    <t>0315909712150</t>
  </si>
  <si>
    <t>Set bông mút MUDE (SOFT SILKY FIT CUSHION PUFF SET, 2 cái)</t>
  </si>
  <si>
    <t>Chuốt mi MUDE (INSPIRE VOLUME CURLING MASCARA 01 BLACK, 8ml)</t>
  </si>
  <si>
    <t>Hộp quà GLAMRR Q DD</t>
  </si>
  <si>
    <t>Hộp quà DE MEMORIA (BODYCARE)</t>
  </si>
  <si>
    <t>THANKS CARD VÒNG XOAY MAY MẮN DE MEMORIA</t>
  </si>
  <si>
    <t>THANKS CARD VÒNG XOAY MAY MẮN GLAMRR Q</t>
  </si>
  <si>
    <t>BROCHURE GILAA</t>
  </si>
  <si>
    <t>THANKS CARD VÒNG XOAY MAY MẮN GILAA</t>
  </si>
  <si>
    <t>SỮA RỬA MẶT DAOIDA (FRESH HERBAL PACK CLEANSER, 120g)</t>
  </si>
  <si>
    <t>Giá cũ: 299.000</t>
  </si>
  <si>
    <t>06/01/2026 Update lại giá</t>
  </si>
  <si>
    <t>Cọ má hồng MUDE</t>
  </si>
  <si>
    <t>Chuốt mi MUDE (INSPIRE LONGLASH CURLING MASCARA 01 BLACK, 8ml)</t>
  </si>
  <si>
    <t>ĐÁ MASSAGE GUASHA GILAA</t>
  </si>
  <si>
    <t>Máy massage mắt VEGICK</t>
  </si>
  <si>
    <t>THIỆP CẢM ƠN DAOIDA ECOM</t>
  </si>
  <si>
    <t>THIỆP CẢM ƠN DAOIDA WEBSITE</t>
  </si>
  <si>
    <t>Sáp tẩy trang thảo mộc và đất sét DAOIDA (FRESH HERBAL CLEANSING BALM WITH CLAY, 75g)</t>
  </si>
  <si>
    <t>Bảng bắt sáng MUDE (FULL BLOOM GLOW PALETTE 01 BLOOMING, 5g)</t>
  </si>
  <si>
    <t>Cọ rửa mặt hai đầu DAOIDA (DUO CLEAN BRUSH)</t>
  </si>
  <si>
    <t>Xịt khóa nền GLAMRR Q (VEGAN SUPER STAY MAKE UP FIXER 01 NATURAL BLUR, 130ml)</t>
  </si>
  <si>
    <t>Giá cũ: 455.000</t>
  </si>
  <si>
    <t>01/03/2026: Update lại giá</t>
  </si>
  <si>
    <t>Kem nền GLAMRR Q (DAILY SKINTINT SERUM VEGAN FOUNDATION 01, 30ml)</t>
  </si>
  <si>
    <t>Giá cũ: 425.000</t>
  </si>
  <si>
    <t>01/09/2025: Cập nhật lại giá</t>
  </si>
  <si>
    <t>Kem nền GLAMRR Q (DAILY SKINTINT SERUM VEGAN FOUNDATION 02, 30ml)</t>
  </si>
  <si>
    <t>Vỏ hộp phấn nước kèm bông mút GLAMRR Q (AIR CUSHION COMPACT INCLUDING PUFF)</t>
  </si>
  <si>
    <t>Tẩy tế bào chết cơ thể PLU (BODY SCRUB LILY VANILLA, 200g)</t>
  </si>
  <si>
    <t>Tẩy tế bào chết cơ thể PLU (BODY SCRUB DAISY FLOWER, 200g)</t>
  </si>
  <si>
    <t>Tẩy tế bào chết cơ thể PLU (BODY SCRUB PEONY BOUQUET, 200g)</t>
  </si>
  <si>
    <t>Tẩy tế bào chết da mặt PLU (BRIGHTENING PEELING GEL PEACH, 100g)</t>
  </si>
  <si>
    <t>Tẩy tế bào chết da mặt PLU (SOFT FACIAL SCRUB HONEY &amp; SUGAR, 100g)</t>
  </si>
  <si>
    <t>Máy sấy tóc hiệu CWELL 1200W, Model C02HD, màu xám</t>
  </si>
  <si>
    <t>Máy sấy tóc hiệu CWELL 1200W, Model C02HD, màu trắng</t>
  </si>
  <si>
    <t>Máy sấy tóc hiệu CWELL 1800W, Model C05HD, màu xám</t>
  </si>
  <si>
    <t>Kem dưỡng da MEDIFORCELL (ULTRA HYALURONIC ACID CREAM, 100ml)</t>
  </si>
  <si>
    <t>Tinh chất dưỡng da MEDIFORCELL (ULTRA HYALURONIC ACID AMPOULE, 100ml)</t>
  </si>
  <si>
    <t>Nước cân bằng da MEDIFORCELL (ULTRA HYALURONIC ACID TONER, 300ml)</t>
  </si>
  <si>
    <t>Mặt nạ ngủ MEDIFORCELL (SUPER NIACINAMIDE TONING SLEEPING MASK, 60g)</t>
  </si>
  <si>
    <t>Chuốt lông mày MUDE (INSPIRE SKINNY BROWCARA B01 MILK TEA, 3.2g)</t>
  </si>
  <si>
    <t>Chuốt lông mày MUDE (INSPIRE SKINNY BROWCARA B02 MUTE NUT, 3.2g)</t>
  </si>
  <si>
    <t>Chuốt lông mày MUDE (INSPIRE SKINNY BROWCARA B04 SOFT TAUPE, 3.2g)</t>
  </si>
  <si>
    <t>Chuốt lông mày MUDE (INSPIRE SKINNY BROWCARA G01 COZY WHEAT, 3.2g)</t>
  </si>
  <si>
    <t>Lược tạo kiểu Unisex VACOSI (STYLING HAIRBRUSH) - C04</t>
  </si>
  <si>
    <t>Khăn mặt nạ DAOIDA (FACIAL MASK TOWEL)</t>
  </si>
  <si>
    <t>Mút rửa mặt DAOIDA (FACIAL CLEANSING SPONGE)</t>
  </si>
  <si>
    <t>Hộp Giấy Quà Tặng DAOIDA (Combo Pack Cleanser &amp; Cleansing Balm Kèm Thiệp)</t>
  </si>
  <si>
    <t>Túi đựng đồ trang điểm GLAMRR Q (SILICONE COSMETICS BAG)</t>
  </si>
  <si>
    <t>Kem dưỡng da tay DE MEMORIA (SCENTED MOISTURIZING HAND CREAM VANILLA ON MARS, 50ml)</t>
  </si>
  <si>
    <t>Giá cũ: 199.000
Mã barcode cũ: 8809563708796</t>
  </si>
  <si>
    <t>01/11/2025 Update lại giá
01/01/2025 Update lại giá
22/01/2026: Đổi mã barcode sản phẩm</t>
  </si>
  <si>
    <t>Kem nền GLAMRR Q (DAILY SKINTINT SERUM VEGAN FOUNDATION 0.7, 30ml)</t>
  </si>
  <si>
    <t>Hộp Giấy GILAA Trial Set Có Tem Dính</t>
  </si>
  <si>
    <t>Cọ tán nền GLAMRR Q (SPATULA WIDE FOUNDATION BRUSH)</t>
  </si>
  <si>
    <t>15.000</t>
  </si>
  <si>
    <t>Quạt cầm tay GLAMRR Q (HAND-HELD MINI FAN)</t>
  </si>
  <si>
    <t>30.000</t>
  </si>
  <si>
    <t>Chuốt mi MUDE (INSPIRE LONGLASH CURLING MASCARA 02 BROWN, 8ml)</t>
  </si>
  <si>
    <t>255.000</t>
  </si>
  <si>
    <t>Túi đựng đồ trang điểm GILAA (COSMETICS BAG)</t>
  </si>
  <si>
    <t>120.000</t>
  </si>
  <si>
    <t>Má hồng kem đa năng #01 GLAMRR Q (MELLOW TOUCH LIP&amp;CHEEK POT SUNRISE O’CLOCK, 1.8g)</t>
  </si>
  <si>
    <t>225.000</t>
  </si>
  <si>
    <t>Má hồng kem đa năng #02 GLAMRR Q (MELLOW TOUCH LIP&amp;CHEEK POT POWER LUNCH, 1.8g)</t>
  </si>
  <si>
    <t>Má hồng kem đa năng #03 GLAMRR Q (MELLOW TOUCH LIP&amp;CHEEK POT SWEET DATE, 1.8g)</t>
  </si>
  <si>
    <t>Má hồng kem đa năng #04 GLAMRR Q (MELLOW TOUCH LIP&amp;CHEEK POT TIL’ THE NIGHT, 1.8g)</t>
  </si>
  <si>
    <t>Sữa tắm PLU (PERFUMED SPA SCRUB BODY WASH DAMASK ROSE, 500g)</t>
  </si>
  <si>
    <t>299.000</t>
  </si>
  <si>
    <t>Sữa tắm PLU (PERFUMED SPA SCRUB BODY WASH BOTANICAL BERRY, 500g)</t>
  </si>
  <si>
    <t>Kẹp tóc nhựa GLAMRR Q  (PLASTIC CLAW CLIP)</t>
  </si>
  <si>
    <t>7.000</t>
  </si>
  <si>
    <t>Kẹp tóc nhựa DE MEMORIA (PLASTIC CLAW CLIP)</t>
  </si>
  <si>
    <t>Kẹp tóc nhựa PLU (PLASTIC CLAW CLIP)</t>
  </si>
  <si>
    <t>Kem dưỡng da MEDIFORCELL (PREJUVENATION RETINAL FACE CREAM, 50ml)</t>
  </si>
  <si>
    <t>565.000</t>
  </si>
  <si>
    <t>Tinh chất dưỡng da MEDIFORCELL (PREJUVENATION RETINAL AMPOULE, 50ml)</t>
  </si>
  <si>
    <t>Kem dưỡng da mắt MEDIFORCELL (PREJUVENATION RETINAL EYE CREAM, 25ml)</t>
  </si>
  <si>
    <t>525.000</t>
  </si>
  <si>
    <t>Tinh chất dưỡng da DAOIDA (GLOW WHITE CAPSULE SERUM, 30ml)</t>
  </si>
  <si>
    <t>599.000</t>
  </si>
  <si>
    <t>Hộp quà DE MEMORIA (BODYCARE &amp; HANDCREAM)</t>
  </si>
  <si>
    <t>33.000</t>
  </si>
  <si>
    <t>Bông tắm tròn DE MEMORIA (ROUND BATH SPONGE)</t>
  </si>
  <si>
    <t>Nước hoa DE MEMORIA (FEMININE PERFUME JOKE&amp;LEAVE, 30ml)</t>
  </si>
  <si>
    <t>390.000</t>
  </si>
  <si>
    <t>Nước hoa DE MEMORIA (FEMININE PERFUME DARLING CLEAR, 30ml)</t>
  </si>
  <si>
    <t>HỘP QUÀ DE MEMORIA (CLEANSER/LOTION &amp; HANDCREAM)</t>
  </si>
  <si>
    <t>Móc khóa GLAMRR Q (KEYCHAIN)</t>
  </si>
  <si>
    <t>sản phẩm bị bể ô phấn</t>
  </si>
  <si>
    <t>HASAKI</t>
  </si>
  <si>
    <t>bao bì dơ</t>
  </si>
  <si>
    <t>Son môi GLAMRR Q LONG WEAR LIP CREAM #01 GLAD DAY 5g</t>
  </si>
  <si>
    <t>Son môi GLAMRR Q LONG WEAR LIP CREAM #05 GLOOMY DAY 5g</t>
  </si>
  <si>
    <t>Son môi GLAMRR Q LONG WEAR LIP CREAM #07 RED-LETTER DAY 5g</t>
  </si>
  <si>
    <t>cấn móp</t>
  </si>
  <si>
    <t>Ticket #114742</t>
  </si>
  <si>
    <t>Nhập lost trên SM-VN-395215-15410963</t>
  </si>
  <si>
    <t>Ticket #116492</t>
  </si>
  <si>
    <t>Nhập lost trên SM-VN-395215-20425924</t>
  </si>
  <si>
    <t>ko có seal</t>
  </si>
  <si>
    <t>009/2025/PO/OQR-MUDE</t>
  </si>
  <si>
    <t>011/2025/PO/OQR-MUDE</t>
  </si>
  <si>
    <t>Nhập lost trên SM-VN-395215-32453149</t>
  </si>
  <si>
    <t>Ticket 486</t>
  </si>
  <si>
    <t>ko có barcode</t>
  </si>
  <si>
    <t>012/2025/PO/OQR-MUDE</t>
  </si>
  <si>
    <t>SL đã xuất</t>
  </si>
  <si>
    <t>Còn lại</t>
  </si>
  <si>
    <t>Nhập lost trên SM-VN-395215-16607957</t>
  </si>
  <si>
    <t>Ticket 114281</t>
  </si>
  <si>
    <t>BM68698317418DM</t>
  </si>
  <si>
    <t>hàng đã qua sử dụng</t>
  </si>
  <si>
    <t>Brand</t>
  </si>
  <si>
    <t>8809820741566</t>
  </si>
  <si>
    <t>Đã khui seal, sản phẩm đã qua sử dụng</t>
  </si>
  <si>
    <t>Bao bì dơ, sản phẩm chưa qua sử dụng</t>
  </si>
  <si>
    <t>8936233680554</t>
  </si>
  <si>
    <t>Bộ Quà Tặng Gilaa (Slow Aging Trial Gift Set B)</t>
  </si>
  <si>
    <t>Sản phẩm không đủ số lượng, cận date</t>
  </si>
  <si>
    <t>8936233680073</t>
  </si>
  <si>
    <t>8809672511799</t>
  </si>
  <si>
    <t>8809672511805</t>
  </si>
  <si>
    <t>8809820741726</t>
  </si>
  <si>
    <t>8809820741733</t>
  </si>
  <si>
    <t>8809820741757</t>
  </si>
  <si>
    <t>8809820741764</t>
  </si>
  <si>
    <t>8809864758926</t>
  </si>
  <si>
    <t>8809820741641</t>
  </si>
  <si>
    <t>Chuốt mi MUDE (INSPIRE LONGLASH CURLING MASCARA 01 BLACK, 08ml)</t>
  </si>
  <si>
    <t>8809820740101</t>
  </si>
  <si>
    <t>8809820741658</t>
  </si>
  <si>
    <t>8809820740651</t>
  </si>
  <si>
    <t>8809820740668</t>
  </si>
  <si>
    <t>8809820741665</t>
  </si>
  <si>
    <t>Chuốt mi MUDE (INSPIRE VOLUME CURLING MASCARA 01 BLACK, 08ml)</t>
  </si>
  <si>
    <t>8809820740088</t>
  </si>
  <si>
    <t>8936233680493</t>
  </si>
  <si>
    <t>8936233680097</t>
  </si>
  <si>
    <t>Bao bì cấn móp, sản phẩm chưa qua sử dụng</t>
  </si>
  <si>
    <t>8809954940958</t>
  </si>
  <si>
    <t>8809882040164</t>
  </si>
  <si>
    <t>8809563708796</t>
  </si>
  <si>
    <t>Sản phẩm mất seal, đã qua sử dụng</t>
  </si>
  <si>
    <t>8800296554797</t>
  </si>
  <si>
    <t>8800296553493</t>
  </si>
  <si>
    <t>8800296553509</t>
  </si>
  <si>
    <t>8809864750937</t>
  </si>
  <si>
    <t>8809864750944</t>
  </si>
  <si>
    <t>6970758099615</t>
  </si>
  <si>
    <t>GILAA</t>
  </si>
  <si>
    <t>Hộp bị rách, sản phẩm bên trong không ảnh hưởng</t>
  </si>
  <si>
    <t>8809491947830</t>
  </si>
  <si>
    <t>Má Hồng Kem Căng Bóng GLAMRR Q (GLOW LASTING FRESH BLUSH #01 PINK SECRET 3.8g)</t>
  </si>
  <si>
    <t>8809491947847</t>
  </si>
  <si>
    <t>Má Hồng Kem Căng Bóng GLAMRR Q (GLOW LASTING FRESH BLUSH #02 PEACH PLOT 3.8g)</t>
  </si>
  <si>
    <t>8800250592476</t>
  </si>
  <si>
    <t>8936233680455</t>
  </si>
  <si>
    <t>8936233680479</t>
  </si>
  <si>
    <t>8936233680424</t>
  </si>
  <si>
    <t>Sản phẩm rách bao bì, đã qua sử dụng</t>
  </si>
  <si>
    <t>8809882040195</t>
  </si>
  <si>
    <t>Nước cân bằng da Mediforcell (ULTRA HYALURONIC ACID TONER, 300ML)</t>
  </si>
  <si>
    <t>8809738603512</t>
  </si>
  <si>
    <t>8809738605509</t>
  </si>
  <si>
    <t>Đã hết hạn sử dụng</t>
  </si>
  <si>
    <t>8809738598610</t>
  </si>
  <si>
    <t>8809738603482</t>
  </si>
  <si>
    <t>8809738603499</t>
  </si>
  <si>
    <t>8809331313412</t>
  </si>
  <si>
    <t>Hàng cận date</t>
  </si>
  <si>
    <t>8809820740293</t>
  </si>
  <si>
    <t>8809820740316</t>
  </si>
  <si>
    <t>8809820740972</t>
  </si>
  <si>
    <t>8809820741788</t>
  </si>
  <si>
    <t>8809820741795</t>
  </si>
  <si>
    <t>8936233680486</t>
  </si>
  <si>
    <t>8936233680011</t>
  </si>
  <si>
    <t>Son môi GLAMRR Q (VEGAN SUPER LIP B ALM 00 ORANGIE, 4.5g)</t>
  </si>
  <si>
    <t>Son môi GLAMRR Q (VEGAN SUPER LIP B ALM 01 CHERIE, 4.5g)</t>
  </si>
  <si>
    <t>Son môi GLAMRR Q (VEGAN SUPER LIP B ALM 02 APPLE-Y, 4.5g)</t>
  </si>
  <si>
    <t>Son môi GLAMRR Q (VEGAN SUPER LIP B ALM 03 GRAPEFUL, 4.5g)</t>
  </si>
  <si>
    <t>Son môi GLAMRR Q (VEGAN SUPER LIP B ALM 04 O'PEACH, 4.5g)</t>
  </si>
  <si>
    <t>Son môi GLAMRR Q (VEGAN SUPER LIP B ALM 05 PLUM'D, 4.5g)</t>
  </si>
  <si>
    <t>8809563708079</t>
  </si>
  <si>
    <t>8809563708086</t>
  </si>
  <si>
    <t>8809563708093</t>
  </si>
  <si>
    <t>8936233680004</t>
  </si>
  <si>
    <t>SỮA RỬA MẶT (DAOIDA FRESH HERBAL PACK CLEANSER, 120g)</t>
  </si>
  <si>
    <t>8809563069279</t>
  </si>
  <si>
    <t>8809563069286</t>
  </si>
  <si>
    <t>8936233680240</t>
  </si>
  <si>
    <t>CTKM hết thời hạn</t>
  </si>
  <si>
    <t>8936233680257</t>
  </si>
  <si>
    <t>8936233680264</t>
  </si>
  <si>
    <t>8809203078227</t>
  </si>
  <si>
    <t>8809545436532</t>
  </si>
  <si>
    <t>8936233680332</t>
  </si>
  <si>
    <t>8809133684932</t>
  </si>
  <si>
    <t>8809882040188</t>
  </si>
  <si>
    <t>Tinh chất dưỡng da Mediforcell (ULTRA HYALURONIC ACID AMPOULE, 100ML)</t>
  </si>
  <si>
    <t>8936233680509</t>
  </si>
  <si>
    <t>8936233680462</t>
  </si>
  <si>
    <t>8936233680059</t>
  </si>
  <si>
    <t>8809971485210</t>
  </si>
  <si>
    <t>Xịt khóa nền GLAMRR Q (VEGAN SUPER STAY MAKE UP FIXER 01 NATURAL BLUR 50ml)</t>
  </si>
  <si>
    <t>8800296553356</t>
  </si>
  <si>
    <t>8809971486484</t>
  </si>
  <si>
    <t>Xịt khóa nền GLAMRR Q (VEGAN SUPER STAY MAKE UP FIXER 02 DEWY GLOW 20ml)</t>
  </si>
  <si>
    <t>8809971485227</t>
  </si>
  <si>
    <t>Xịt khóa nền GLAMRR Q (VEGAN SUPER STAY MAKE UP FIXER 02 DEWY GLOW 50ml)</t>
  </si>
  <si>
    <t>8800296553363</t>
  </si>
  <si>
    <t>8809268159350</t>
  </si>
  <si>
    <t>8809268159367</t>
  </si>
  <si>
    <t>8809268159404</t>
  </si>
  <si>
    <t>8809268159374</t>
  </si>
  <si>
    <t>8809268159381</t>
  </si>
  <si>
    <t>BM631962340681DM</t>
  </si>
  <si>
    <t>Tháng 2.2026</t>
  </si>
  <si>
    <t>Đối tác/Đơn phát sinh</t>
  </si>
  <si>
    <t>https://workflow.base.vn/job/3581351</t>
  </si>
  <si>
    <t>https://workflow.base.vn/job/3429623</t>
  </si>
  <si>
    <t>Số lượng xuất chưa bổ sung workflow</t>
  </si>
  <si>
    <t>Hạn sử dụng sản phẩm</t>
  </si>
  <si>
    <t>Tháng 1+2.2026</t>
  </si>
  <si>
    <t>16/10/2026</t>
  </si>
  <si>
    <t>27/12/2026</t>
  </si>
  <si>
    <t>23/11/2026</t>
  </si>
  <si>
    <t>24/12/2026</t>
  </si>
  <si>
    <t>22/11/2026</t>
  </si>
  <si>
    <t>30/11/2026</t>
  </si>
  <si>
    <t>19/12/2026</t>
  </si>
  <si>
    <t>26/11/2026</t>
  </si>
  <si>
    <t>B2B lên đơn trên CRM, KT check sl giúp nha</t>
  </si>
  <si>
    <t>Grand Total</t>
  </si>
  <si>
    <t>Phân loại</t>
  </si>
  <si>
    <t>Boxme thu hồi</t>
  </si>
  <si>
    <t>PO - hàng cấn móp</t>
  </si>
  <si>
    <t>Tổng cộng</t>
  </si>
  <si>
    <t>Nội dung</t>
  </si>
  <si>
    <t>Chi tiết</t>
  </si>
  <si>
    <t>Tỷ lệ (%)</t>
  </si>
  <si>
    <t>Boxme - Hàng thu hồi</t>
  </si>
  <si>
    <t>Juka</t>
  </si>
  <si>
    <t>VITAA</t>
  </si>
  <si>
    <t>Hà Vy Cosmetics</t>
  </si>
  <si>
    <t>Ngày cập nhập</t>
  </si>
  <si>
    <t>20/3/2026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</si>
</sst>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\/mm\/yyyy"/>
    <numFmt numFmtId="165" formatCode="_(* #,##0_);_(* \(#,##0\);_(* &quot;-&quot;??_);_(@_)"/>
    <numFmt numFmtId="166" formatCode="0.000"/>
    <numFmt numFmtId="167" formatCode="d\.m"/>
    <numFmt numFmtId="168" formatCode="d/m/yyyy"/>
    <numFmt numFmtId="169" formatCode="d/mm/yyyy"/>
    <numFmt numFmtId="170" formatCode="0;\-0;&quot;–&quot;"/>
  </numFmts>
  <fonts count="29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0"/>
      <name val="Aptos Narrow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Calibri"/>
      <family val="2"/>
    </font>
    <font>
      <sz val="12"/>
      <name val="&quot;Times New Roman&quot;"/>
    </font>
    <font>
      <sz val="12"/>
      <color rgb="FF081C36"/>
      <name val="Times New Roman"/>
      <family val="1"/>
    </font>
    <font>
      <sz val="11"/>
      <name val="Times New Roman"/>
      <family val="1"/>
    </font>
    <font>
      <sz val="12"/>
      <color rgb="FF2E3133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4B9F7"/>
        <bgColor indexed="64"/>
      </patternFill>
    </fill>
    <fill>
      <patternFill patternType="solid">
        <fgColor rgb="FFFFD9B2"/>
        <bgColor indexed="64"/>
      </patternFill>
    </fill>
    <fill>
      <patternFill patternType="solid">
        <fgColor rgb="FFCFE2F3"/>
      </patternFill>
    </fill>
    <fill>
      <patternFill patternType="solid">
        <fgColor rgb="FFFFFFFF"/>
      </patternFill>
    </fill>
    <fill>
      <patternFill patternType="solid">
        <fgColor rgb="FFFFE599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  <xf numFmtId="0" fontId="10" fillId="0" borderId="0"/>
  </cellStyleXfs>
  <cellXfs count="166">
    <xf numFmtId="0" fontId="0" fillId="0" borderId="0" xfId="0"/>
    <xf numFmtId="0" fontId="1" fillId="0" borderId="0" xfId="0" applyFont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3" quotePrefix="1" applyFont="1" applyBorder="1" applyAlignment="1">
      <alignment horizontal="center" vertical="center"/>
    </xf>
    <xf numFmtId="1" fontId="7" fillId="0" borderId="1" xfId="3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5" applyFont="1" applyAlignment="1">
      <alignment vertical="center"/>
    </xf>
    <xf numFmtId="0" fontId="11" fillId="0" borderId="0" xfId="5" applyFont="1" applyAlignment="1">
      <alignment horizontal="center" vertical="center"/>
    </xf>
    <xf numFmtId="0" fontId="13" fillId="0" borderId="0" xfId="5" applyFont="1"/>
    <xf numFmtId="3" fontId="11" fillId="0" borderId="0" xfId="5" applyNumberFormat="1" applyFont="1" applyAlignment="1">
      <alignment horizontal="center" vertical="center"/>
    </xf>
    <xf numFmtId="0" fontId="12" fillId="4" borderId="2" xfId="5" applyFont="1" applyFill="1" applyBorder="1" applyAlignment="1">
      <alignment horizontal="center" vertical="center" wrapText="1"/>
    </xf>
    <xf numFmtId="3" fontId="12" fillId="4" borderId="2" xfId="5" applyNumberFormat="1" applyFont="1" applyFill="1" applyBorder="1" applyAlignment="1">
      <alignment horizontal="center" vertical="center" wrapText="1"/>
    </xf>
    <xf numFmtId="0" fontId="12" fillId="4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center"/>
    </xf>
    <xf numFmtId="14" fontId="11" fillId="0" borderId="2" xfId="5" applyNumberFormat="1" applyFont="1" applyBorder="1" applyAlignment="1">
      <alignment horizontal="center" vertical="center"/>
    </xf>
    <xf numFmtId="0" fontId="11" fillId="0" borderId="2" xfId="5" applyFont="1" applyBorder="1" applyAlignment="1">
      <alignment vertical="center" wrapText="1"/>
    </xf>
    <xf numFmtId="0" fontId="11" fillId="0" borderId="2" xfId="5" applyFont="1" applyBorder="1" applyAlignment="1">
      <alignment vertical="center"/>
    </xf>
    <xf numFmtId="3" fontId="11" fillId="5" borderId="2" xfId="5" applyNumberFormat="1" applyFont="1" applyFill="1" applyBorder="1" applyAlignment="1">
      <alignment horizontal="center" vertical="center"/>
    </xf>
    <xf numFmtId="0" fontId="13" fillId="0" borderId="0" xfId="5" applyFont="1" applyAlignment="1">
      <alignment vertical="center"/>
    </xf>
    <xf numFmtId="0" fontId="11" fillId="5" borderId="2" xfId="5" applyFont="1" applyFill="1" applyBorder="1" applyAlignment="1">
      <alignment horizontal="center" vertical="center"/>
    </xf>
    <xf numFmtId="14" fontId="11" fillId="5" borderId="2" xfId="5" applyNumberFormat="1" applyFont="1" applyFill="1" applyBorder="1" applyAlignment="1">
      <alignment horizontal="center" vertical="center"/>
    </xf>
    <xf numFmtId="0" fontId="11" fillId="5" borderId="2" xfId="5" quotePrefix="1" applyFont="1" applyFill="1" applyBorder="1" applyAlignment="1">
      <alignment vertical="center"/>
    </xf>
    <xf numFmtId="0" fontId="11" fillId="5" borderId="2" xfId="5" applyFont="1" applyFill="1" applyBorder="1" applyAlignment="1">
      <alignment vertical="center" wrapText="1"/>
    </xf>
    <xf numFmtId="0" fontId="11" fillId="5" borderId="2" xfId="5" applyFont="1" applyFill="1" applyBorder="1" applyAlignment="1">
      <alignment vertical="center"/>
    </xf>
    <xf numFmtId="166" fontId="11" fillId="0" borderId="0" xfId="5" applyNumberFormat="1" applyFont="1" applyAlignment="1">
      <alignment vertical="center"/>
    </xf>
    <xf numFmtId="0" fontId="11" fillId="0" borderId="2" xfId="5" applyFont="1" applyBorder="1" applyAlignment="1">
      <alignment horizontal="center" vertical="center" wrapText="1"/>
    </xf>
    <xf numFmtId="167" fontId="11" fillId="0" borderId="2" xfId="5" applyNumberFormat="1" applyFont="1" applyBorder="1" applyAlignment="1">
      <alignment vertical="center"/>
    </xf>
    <xf numFmtId="0" fontId="10" fillId="5" borderId="0" xfId="5" quotePrefix="1" applyFill="1"/>
    <xf numFmtId="0" fontId="11" fillId="5" borderId="0" xfId="5" applyFont="1" applyFill="1" applyAlignment="1">
      <alignment vertical="center"/>
    </xf>
    <xf numFmtId="0" fontId="13" fillId="5" borderId="0" xfId="5" applyFont="1" applyFill="1" applyAlignment="1">
      <alignment vertical="center"/>
    </xf>
    <xf numFmtId="0" fontId="18" fillId="0" borderId="0" xfId="5" applyFont="1" applyAlignment="1">
      <alignment vertical="center"/>
    </xf>
    <xf numFmtId="0" fontId="16" fillId="5" borderId="2" xfId="5" applyFont="1" applyFill="1" applyBorder="1" applyAlignment="1">
      <alignment vertical="center"/>
    </xf>
    <xf numFmtId="49" fontId="11" fillId="5" borderId="2" xfId="5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49" fontId="11" fillId="5" borderId="2" xfId="5" applyNumberFormat="1" applyFont="1" applyFill="1" applyBorder="1" applyAlignment="1">
      <alignment horizontal="center" vertical="center" wrapText="1"/>
    </xf>
    <xf numFmtId="49" fontId="19" fillId="5" borderId="0" xfId="5" applyNumberFormat="1" applyFont="1" applyFill="1" applyAlignment="1">
      <alignment horizontal="center" vertical="center"/>
    </xf>
    <xf numFmtId="0" fontId="20" fillId="5" borderId="2" xfId="5" applyFont="1" applyFill="1" applyBorder="1" applyAlignment="1">
      <alignment vertical="center"/>
    </xf>
    <xf numFmtId="0" fontId="11" fillId="5" borderId="2" xfId="5" applyFont="1" applyFill="1" applyBorder="1" applyAlignment="1">
      <alignment horizontal="right" vertical="center"/>
    </xf>
    <xf numFmtId="0" fontId="12" fillId="5" borderId="0" xfId="5" applyFont="1" applyFill="1" applyAlignment="1">
      <alignment vertical="center"/>
    </xf>
    <xf numFmtId="0" fontId="16" fillId="5" borderId="2" xfId="5" applyFont="1" applyFill="1" applyBorder="1" applyAlignment="1">
      <alignment horizontal="left" wrapText="1"/>
    </xf>
    <xf numFmtId="49" fontId="11" fillId="5" borderId="2" xfId="5" applyNumberFormat="1" applyFont="1" applyFill="1" applyBorder="1" applyAlignment="1">
      <alignment vertical="center"/>
    </xf>
    <xf numFmtId="0" fontId="16" fillId="5" borderId="2" xfId="5" applyFont="1" applyFill="1" applyBorder="1" applyAlignment="1">
      <alignment vertical="center" wrapText="1"/>
    </xf>
    <xf numFmtId="168" fontId="11" fillId="5" borderId="2" xfId="5" applyNumberFormat="1" applyFont="1" applyFill="1" applyBorder="1" applyAlignment="1">
      <alignment horizontal="center" vertical="center"/>
    </xf>
    <xf numFmtId="0" fontId="16" fillId="5" borderId="2" xfId="5" applyFont="1" applyFill="1" applyBorder="1" applyAlignment="1">
      <alignment horizontal="left" vertical="center" wrapText="1"/>
    </xf>
    <xf numFmtId="0" fontId="13" fillId="5" borderId="0" xfId="5" applyFont="1" applyFill="1"/>
    <xf numFmtId="0" fontId="11" fillId="5" borderId="2" xfId="5" applyFont="1" applyFill="1" applyBorder="1" applyAlignment="1">
      <alignment horizontal="left" vertical="center" wrapText="1"/>
    </xf>
    <xf numFmtId="0" fontId="11" fillId="6" borderId="2" xfId="5" applyFont="1" applyFill="1" applyBorder="1" applyAlignment="1">
      <alignment horizontal="center" vertical="center"/>
    </xf>
    <xf numFmtId="169" fontId="11" fillId="6" borderId="2" xfId="5" applyNumberFormat="1" applyFont="1" applyFill="1" applyBorder="1" applyAlignment="1">
      <alignment horizontal="center" vertical="center"/>
    </xf>
    <xf numFmtId="0" fontId="21" fillId="6" borderId="2" xfId="5" applyFont="1" applyFill="1" applyBorder="1" applyAlignment="1">
      <alignment vertical="center"/>
    </xf>
    <xf numFmtId="0" fontId="16" fillId="6" borderId="2" xfId="5" applyFont="1" applyFill="1" applyBorder="1" applyAlignment="1">
      <alignment horizontal="center" vertical="center"/>
    </xf>
    <xf numFmtId="0" fontId="16" fillId="6" borderId="2" xfId="5" applyFont="1" applyFill="1" applyBorder="1" applyAlignment="1">
      <alignment horizontal="right" vertical="center"/>
    </xf>
    <xf numFmtId="3" fontId="11" fillId="6" borderId="2" xfId="5" applyNumberFormat="1" applyFont="1" applyFill="1" applyBorder="1" applyAlignment="1">
      <alignment horizontal="center" vertical="center"/>
    </xf>
    <xf numFmtId="0" fontId="22" fillId="6" borderId="2" xfId="5" applyFont="1" applyFill="1" applyBorder="1" applyAlignment="1">
      <alignment vertical="center"/>
    </xf>
    <xf numFmtId="0" fontId="23" fillId="6" borderId="2" xfId="5" applyFont="1" applyFill="1" applyBorder="1" applyAlignment="1">
      <alignment horizontal="right" vertical="center" wrapText="1"/>
    </xf>
    <xf numFmtId="168" fontId="16" fillId="5" borderId="2" xfId="5" applyNumberFormat="1" applyFont="1" applyFill="1" applyBorder="1" applyAlignment="1">
      <alignment horizontal="center" vertical="center"/>
    </xf>
    <xf numFmtId="0" fontId="16" fillId="5" borderId="2" xfId="5" applyFont="1" applyFill="1" applyBorder="1" applyAlignment="1">
      <alignment horizontal="center" vertical="center"/>
    </xf>
    <xf numFmtId="0" fontId="23" fillId="5" borderId="2" xfId="5" applyFont="1" applyFill="1" applyBorder="1" applyAlignment="1">
      <alignment vertical="center"/>
    </xf>
    <xf numFmtId="0" fontId="16" fillId="5" borderId="2" xfId="5" applyFont="1" applyFill="1" applyBorder="1" applyAlignment="1">
      <alignment horizontal="right" vertical="center"/>
    </xf>
    <xf numFmtId="0" fontId="16" fillId="5" borderId="2" xfId="5" applyFont="1" applyFill="1" applyBorder="1" applyAlignment="1">
      <alignment horizontal="right" vertical="center" wrapText="1"/>
    </xf>
    <xf numFmtId="14" fontId="16" fillId="5" borderId="2" xfId="5" applyNumberFormat="1" applyFont="1" applyFill="1" applyBorder="1" applyAlignment="1">
      <alignment horizontal="center" vertical="center"/>
    </xf>
    <xf numFmtId="0" fontId="23" fillId="5" borderId="2" xfId="5" applyFont="1" applyFill="1" applyBorder="1" applyAlignment="1">
      <alignment vertical="center" wrapText="1"/>
    </xf>
    <xf numFmtId="0" fontId="22" fillId="5" borderId="2" xfId="5" applyFont="1" applyFill="1" applyBorder="1" applyAlignment="1">
      <alignment horizontal="center" vertical="center"/>
    </xf>
    <xf numFmtId="14" fontId="22" fillId="5" borderId="2" xfId="5" applyNumberFormat="1" applyFont="1" applyFill="1" applyBorder="1" applyAlignment="1">
      <alignment horizontal="center" vertical="center"/>
    </xf>
    <xf numFmtId="0" fontId="22" fillId="5" borderId="2" xfId="5" applyFont="1" applyFill="1" applyBorder="1" applyAlignment="1">
      <alignment horizontal="left" vertical="center" wrapText="1"/>
    </xf>
    <xf numFmtId="0" fontId="22" fillId="5" borderId="2" xfId="5" applyFont="1" applyFill="1" applyBorder="1" applyAlignment="1">
      <alignment vertical="center"/>
    </xf>
    <xf numFmtId="3" fontId="22" fillId="5" borderId="2" xfId="5" applyNumberFormat="1" applyFont="1" applyFill="1" applyBorder="1" applyAlignment="1">
      <alignment horizontal="center" vertical="center"/>
    </xf>
    <xf numFmtId="0" fontId="16" fillId="5" borderId="2" xfId="5" quotePrefix="1" applyFont="1" applyFill="1" applyBorder="1" applyAlignment="1">
      <alignment horizontal="center" vertical="center"/>
    </xf>
    <xf numFmtId="3" fontId="16" fillId="5" borderId="2" xfId="5" applyNumberFormat="1" applyFont="1" applyFill="1" applyBorder="1" applyAlignment="1">
      <alignment horizontal="center" vertical="center" wrapText="1"/>
    </xf>
    <xf numFmtId="169" fontId="16" fillId="5" borderId="2" xfId="5" applyNumberFormat="1" applyFont="1" applyFill="1" applyBorder="1" applyAlignment="1">
      <alignment horizontal="center" vertical="center" wrapText="1"/>
    </xf>
    <xf numFmtId="0" fontId="16" fillId="5" borderId="2" xfId="5" applyFont="1" applyFill="1" applyBorder="1" applyAlignment="1">
      <alignment horizontal="center" vertical="center" wrapText="1"/>
    </xf>
    <xf numFmtId="14" fontId="16" fillId="0" borderId="2" xfId="5" applyNumberFormat="1" applyFont="1" applyBorder="1" applyAlignment="1">
      <alignment horizontal="center" vertical="center"/>
    </xf>
    <xf numFmtId="0" fontId="16" fillId="0" borderId="2" xfId="5" applyFont="1" applyBorder="1" applyAlignment="1">
      <alignment vertical="center" wrapText="1"/>
    </xf>
    <xf numFmtId="0" fontId="16" fillId="0" borderId="2" xfId="5" applyFont="1" applyBorder="1" applyAlignment="1">
      <alignment horizontal="right" vertical="center"/>
    </xf>
    <xf numFmtId="3" fontId="16" fillId="0" borderId="2" xfId="5" applyNumberFormat="1" applyFont="1" applyBorder="1" applyAlignment="1">
      <alignment horizontal="center" vertical="center"/>
    </xf>
    <xf numFmtId="0" fontId="16" fillId="0" borderId="2" xfId="5" applyFont="1" applyBorder="1" applyAlignment="1">
      <alignment horizontal="center" vertical="center" wrapText="1"/>
    </xf>
    <xf numFmtId="0" fontId="16" fillId="0" borderId="2" xfId="5" applyFont="1" applyBorder="1" applyAlignment="1">
      <alignment vertical="center"/>
    </xf>
    <xf numFmtId="0" fontId="23" fillId="5" borderId="3" xfId="5" applyFont="1" applyFill="1" applyBorder="1" applyAlignment="1">
      <alignment horizontal="center" vertical="center"/>
    </xf>
    <xf numFmtId="0" fontId="23" fillId="5" borderId="2" xfId="5" applyFont="1" applyFill="1" applyBorder="1" applyAlignment="1">
      <alignment horizontal="right" vertical="center"/>
    </xf>
    <xf numFmtId="3" fontId="23" fillId="5" borderId="2" xfId="5" applyNumberFormat="1" applyFont="1" applyFill="1" applyBorder="1" applyAlignment="1">
      <alignment horizontal="center" vertical="center" wrapText="1"/>
    </xf>
    <xf numFmtId="14" fontId="16" fillId="5" borderId="2" xfId="5" applyNumberFormat="1" applyFont="1" applyFill="1" applyBorder="1" applyAlignment="1">
      <alignment horizontal="center" vertical="center" wrapText="1"/>
    </xf>
    <xf numFmtId="0" fontId="23" fillId="5" borderId="2" xfId="5" applyFont="1" applyFill="1" applyBorder="1" applyAlignment="1">
      <alignment horizontal="center" vertical="center"/>
    </xf>
    <xf numFmtId="14" fontId="16" fillId="6" borderId="2" xfId="5" applyNumberFormat="1" applyFont="1" applyFill="1" applyBorder="1" applyAlignment="1">
      <alignment horizontal="center" vertical="center" wrapText="1"/>
    </xf>
    <xf numFmtId="0" fontId="16" fillId="6" borderId="2" xfId="5" applyFont="1" applyFill="1" applyBorder="1" applyAlignment="1">
      <alignment vertical="center" wrapText="1"/>
    </xf>
    <xf numFmtId="0" fontId="16" fillId="6" borderId="3" xfId="5" applyFont="1" applyFill="1" applyBorder="1" applyAlignment="1">
      <alignment horizontal="center" vertical="center"/>
    </xf>
    <xf numFmtId="0" fontId="16" fillId="6" borderId="2" xfId="5" applyFont="1" applyFill="1" applyBorder="1" applyAlignment="1">
      <alignment horizontal="right" vertical="center" wrapText="1"/>
    </xf>
    <xf numFmtId="0" fontId="16" fillId="6" borderId="2" xfId="5" applyFont="1" applyFill="1" applyBorder="1" applyAlignment="1">
      <alignment horizontal="center" vertical="center" wrapText="1"/>
    </xf>
    <xf numFmtId="0" fontId="11" fillId="6" borderId="2" xfId="5" applyFont="1" applyFill="1" applyBorder="1" applyAlignment="1">
      <alignment vertical="center"/>
    </xf>
    <xf numFmtId="0" fontId="16" fillId="5" borderId="3" xfId="5" applyFont="1" applyFill="1" applyBorder="1" applyAlignment="1">
      <alignment horizontal="center" vertical="center"/>
    </xf>
    <xf numFmtId="0" fontId="23" fillId="5" borderId="2" xfId="5" applyFont="1" applyFill="1" applyBorder="1" applyAlignment="1">
      <alignment horizontal="right" vertical="center" wrapText="1"/>
    </xf>
    <xf numFmtId="3" fontId="11" fillId="0" borderId="2" xfId="5" applyNumberFormat="1" applyFont="1" applyBorder="1" applyAlignment="1">
      <alignment horizontal="center" vertical="center"/>
    </xf>
    <xf numFmtId="3" fontId="16" fillId="0" borderId="2" xfId="5" applyNumberFormat="1" applyFont="1" applyBorder="1" applyAlignment="1">
      <alignment horizontal="center" vertical="center" wrapText="1"/>
    </xf>
    <xf numFmtId="0" fontId="16" fillId="0" borderId="2" xfId="5" applyFont="1" applyBorder="1" applyAlignment="1">
      <alignment horizontal="left" vertical="center" wrapText="1"/>
    </xf>
    <xf numFmtId="3" fontId="16" fillId="6" borderId="2" xfId="5" applyNumberFormat="1" applyFont="1" applyFill="1" applyBorder="1" applyAlignment="1">
      <alignment horizontal="center" vertical="center" wrapText="1"/>
    </xf>
    <xf numFmtId="0" fontId="10" fillId="0" borderId="0" xfId="5"/>
    <xf numFmtId="1" fontId="11" fillId="0" borderId="2" xfId="5" quotePrefix="1" applyNumberFormat="1" applyFont="1" applyBorder="1" applyAlignment="1">
      <alignment vertical="center"/>
    </xf>
    <xf numFmtId="1" fontId="11" fillId="5" borderId="2" xfId="5" quotePrefix="1" applyNumberFormat="1" applyFont="1" applyFill="1" applyBorder="1" applyAlignment="1">
      <alignment vertical="center"/>
    </xf>
    <xf numFmtId="1" fontId="16" fillId="5" borderId="2" xfId="5" quotePrefix="1" applyNumberFormat="1" applyFont="1" applyFill="1" applyBorder="1" applyAlignment="1">
      <alignment horizontal="left" vertical="center"/>
    </xf>
    <xf numFmtId="1" fontId="11" fillId="5" borderId="2" xfId="5" quotePrefix="1" applyNumberFormat="1" applyFont="1" applyFill="1" applyBorder="1" applyAlignment="1">
      <alignment horizontal="left" vertical="center"/>
    </xf>
    <xf numFmtId="1" fontId="11" fillId="5" borderId="2" xfId="5" applyNumberFormat="1" applyFont="1" applyFill="1" applyBorder="1" applyAlignment="1">
      <alignment vertical="center"/>
    </xf>
    <xf numFmtId="1" fontId="16" fillId="6" borderId="2" xfId="5" quotePrefix="1" applyNumberFormat="1" applyFont="1" applyFill="1" applyBorder="1" applyAlignment="1">
      <alignment horizontal="left" vertical="center"/>
    </xf>
    <xf numFmtId="1" fontId="16" fillId="5" borderId="2" xfId="5" applyNumberFormat="1" applyFont="1" applyFill="1" applyBorder="1" applyAlignment="1">
      <alignment horizontal="left" vertical="center"/>
    </xf>
    <xf numFmtId="1" fontId="22" fillId="5" borderId="2" xfId="5" quotePrefix="1" applyNumberFormat="1" applyFont="1" applyFill="1" applyBorder="1" applyAlignment="1">
      <alignment horizontal="left" vertical="center"/>
    </xf>
    <xf numFmtId="1" fontId="16" fillId="0" borderId="2" xfId="5" quotePrefix="1" applyNumberFormat="1" applyFont="1" applyBorder="1" applyAlignment="1">
      <alignment horizontal="left" vertical="center"/>
    </xf>
    <xf numFmtId="1" fontId="16" fillId="5" borderId="2" xfId="5" quotePrefix="1" applyNumberFormat="1" applyFont="1" applyFill="1" applyBorder="1" applyAlignment="1">
      <alignment horizontal="left" vertical="center" wrapText="1"/>
    </xf>
    <xf numFmtId="1" fontId="16" fillId="6" borderId="2" xfId="5" quotePrefix="1" applyNumberFormat="1" applyFont="1" applyFill="1" applyBorder="1" applyAlignment="1">
      <alignment horizontal="left" vertical="center" wrapText="1"/>
    </xf>
    <xf numFmtId="1" fontId="16" fillId="5" borderId="2" xfId="5" quotePrefix="1" applyNumberFormat="1" applyFont="1" applyFill="1" applyBorder="1" applyAlignment="1">
      <alignment vertical="center" wrapText="1"/>
    </xf>
    <xf numFmtId="1" fontId="16" fillId="0" borderId="2" xfId="5" applyNumberFormat="1" applyFont="1" applyBorder="1" applyAlignment="1">
      <alignment vertical="center" wrapText="1"/>
    </xf>
    <xf numFmtId="1" fontId="16" fillId="5" borderId="2" xfId="5" applyNumberFormat="1" applyFont="1" applyFill="1" applyBorder="1" applyAlignment="1">
      <alignment vertical="center" wrapText="1"/>
    </xf>
    <xf numFmtId="1" fontId="24" fillId="0" borderId="1" xfId="0" applyNumberFormat="1" applyFont="1" applyBorder="1" applyAlignment="1">
      <alignment horizontal="center" vertical="center"/>
    </xf>
    <xf numFmtId="170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6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8" fillId="0" borderId="1" xfId="4" applyBorder="1" applyAlignment="1">
      <alignment horizontal="left" vertical="center"/>
    </xf>
    <xf numFmtId="1" fontId="9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3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3" fontId="26" fillId="0" borderId="1" xfId="0" applyNumberFormat="1" applyFont="1" applyBorder="1" applyAlignment="1">
      <alignment vertical="center"/>
    </xf>
    <xf numFmtId="1" fontId="26" fillId="0" borderId="1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3" fontId="4" fillId="0" borderId="1" xfId="1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3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center" wrapText="1"/>
    </xf>
    <xf numFmtId="43" fontId="28" fillId="0" borderId="1" xfId="1" applyFont="1" applyFill="1" applyBorder="1" applyAlignment="1">
      <alignment horizontal="center" vertical="center" wrapText="1"/>
    </xf>
    <xf numFmtId="9" fontId="28" fillId="0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</cellXfs>
  <cellStyles count="6">
    <cellStyle name="Comma" xfId="1" builtinId="3"/>
    <cellStyle name="Hyperlink" xfId="4" builtinId="8"/>
    <cellStyle name="Normal" xfId="0" builtinId="0"/>
    <cellStyle name="Normal 2" xfId="3" xr:uid="{00000000-0005-0000-0000-000002000000}"/>
    <cellStyle name="Normal 3" xfId="5" xr:uid="{CD2230E1-ADB5-4F25-B91B-EF665B08D04B}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1181100" cy="504825"/>
    <xdr:pic>
      <xdr:nvPicPr>
        <xdr:cNvPr id="2" name="Image 1">
          <a:extLst>
            <a:ext uri="{FF2B5EF4-FFF2-40B4-BE49-F238E27FC236}">
              <a16:creationId xmlns:a16="http://schemas.microsoft.com/office/drawing/2014/main" id="{488150A8-30F8-4A97-BAF2-21C28AE463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200"/>
          <a:ext cx="1181100" cy="504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product_inventory_export_3980951770261284.xlsx" TargetMode="External"/><Relationship Id="rId1" Type="http://schemas.openxmlformats.org/officeDocument/2006/relationships/externalLinkPath" Target="file:///D:\Downloads\product_inventory_export_398095177026128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 t="str">
            <v>SKU</v>
          </cell>
          <cell r="E2" t="str">
            <v>Product name</v>
          </cell>
        </row>
        <row r="3">
          <cell r="D3" t="str">
            <v>8809820741276</v>
          </cell>
          <cell r="E3" t="str">
            <v>Bấm mi MUDE (EYELASH CURLER)</v>
          </cell>
        </row>
        <row r="4">
          <cell r="D4" t="str">
            <v>8809820741566</v>
          </cell>
          <cell r="E4" t="str">
            <v>Bảng bắt sáng MUDE (FULL BLOOM GLOW PALETTE 01 BLOOMING, 5g)</v>
          </cell>
        </row>
        <row r="5">
          <cell r="D5" t="str">
            <v>8809820740170</v>
          </cell>
          <cell r="E5" t="str">
            <v>Bảng phấn mắt MUDE (SHAWL MOMENT EYESHADOW PALETTE 01 WARM MEMORY)</v>
          </cell>
        </row>
        <row r="6">
          <cell r="D6" t="str">
            <v>8809820740262</v>
          </cell>
          <cell r="E6" t="str">
            <v>Bảng phấn mắt MUDE (SHAWL MOMENT EYESHADOW PALETTE 03 PEACH MEMORY)</v>
          </cell>
        </row>
        <row r="7">
          <cell r="D7" t="str">
            <v>8809820740279</v>
          </cell>
          <cell r="E7" t="str">
            <v>Bảng phấn mắt MUDE (SHAWL MOMENT EYESHADOW PALETTE 04 LILAC MEMORY)</v>
          </cell>
        </row>
        <row r="8">
          <cell r="D8" t="str">
            <v>8809820741122</v>
          </cell>
          <cell r="E8" t="str">
            <v>Bảng phấn mắt MUDE (SHAWL MOMENT EYESHADOW PALETTE 05 TOFFEE NUT LATTE)</v>
          </cell>
        </row>
        <row r="9">
          <cell r="D9" t="str">
            <v>8936233680547</v>
          </cell>
          <cell r="E9" t="str">
            <v>Bộ Quà Tặng Gilaa (Slow Aging Trial Gift Set A)</v>
          </cell>
        </row>
        <row r="10">
          <cell r="D10" t="str">
            <v>8936233680554</v>
          </cell>
          <cell r="E10" t="str">
            <v>Bộ Quà Tặng Gilaa (Slow Aging Trial Gift Set B)</v>
          </cell>
        </row>
        <row r="11">
          <cell r="D11" t="str">
            <v>8936233680073</v>
          </cell>
          <cell r="E11" t="str">
            <v>Bông tắm DE MEMORIA ver2</v>
          </cell>
        </row>
        <row r="12">
          <cell r="D12" t="str">
            <v>8936233680653</v>
          </cell>
          <cell r="E12" t="str">
            <v>Bông tắm tròn DE MEMORIA (ROUND BATH SPONGE)</v>
          </cell>
        </row>
        <row r="13">
          <cell r="D13" t="str">
            <v>8936233680172</v>
          </cell>
          <cell r="E13" t="str">
            <v>Bông tẩy trang GILAA (50 miếng/hộp)</v>
          </cell>
        </row>
        <row r="14">
          <cell r="D14" t="str">
            <v>8936233680233</v>
          </cell>
          <cell r="E14" t="str">
            <v>BROCHURE GILAA</v>
          </cell>
        </row>
        <row r="15">
          <cell r="D15" t="str">
            <v>8809672511799</v>
          </cell>
          <cell r="E15" t="str">
            <v>Chì kẻ mày GLAMRR Q (VEGAN SUPER STAY BROW PENCIL #01 BROWN SUGAR, 0.08g)</v>
          </cell>
        </row>
        <row r="16">
          <cell r="D16" t="str">
            <v>8809672511805</v>
          </cell>
          <cell r="E16" t="str">
            <v>Chì kẻ mày GLAMRR Q (VEGAN SUPER STAY BROW PENCIL #02 GREY SMOKE, 0.08g)</v>
          </cell>
        </row>
        <row r="17">
          <cell r="D17" t="str">
            <v>8809820741726</v>
          </cell>
          <cell r="E17" t="str">
            <v>Chuốt lông mày MUDE (INSPIRE SKINNY BROWCARA B01 MILK TEA, 3.2g)</v>
          </cell>
        </row>
        <row r="18">
          <cell r="D18" t="str">
            <v>8809820741733</v>
          </cell>
          <cell r="E18" t="str">
            <v>Chuốt lông mày MUDE (INSPIRE SKINNY BROWCARA B02 MUTE NUT, 3.2g)</v>
          </cell>
        </row>
        <row r="19">
          <cell r="D19" t="str">
            <v>8809820741757</v>
          </cell>
          <cell r="E19" t="str">
            <v>Chuốt lông mày MUDE (INSPIRE SKINNY BROWCARA B04 SOFT TAUPE, 3.2g)</v>
          </cell>
        </row>
        <row r="20">
          <cell r="D20" t="str">
            <v>8809820741764</v>
          </cell>
          <cell r="E20" t="str">
            <v>Chuốt lông mày MUDE (INSPIRE SKINNY BROWCARA G01 COZY WHEAT, 3.2g)</v>
          </cell>
        </row>
        <row r="21">
          <cell r="D21" t="str">
            <v>8809864758926</v>
          </cell>
          <cell r="E21" t="str">
            <v>Chuốt mi GLAMRR Q (VEGAN SUPER STAY MASCARA, 7g)</v>
          </cell>
        </row>
        <row r="22">
          <cell r="D22" t="str">
            <v>8809820741641</v>
          </cell>
          <cell r="E22" t="str">
            <v>Chuốt mi MUDE (INSPIRE LONGLASH CURLING MASCARA 01 BLACK, 08ml)</v>
          </cell>
        </row>
        <row r="23">
          <cell r="D23" t="str">
            <v>8809820740095</v>
          </cell>
          <cell r="E23" t="str">
            <v>Chuốt mi MUDE (INSPIRE LONGLASH CURLING MASCARA 01 BLACK, 10ml)</v>
          </cell>
        </row>
        <row r="24">
          <cell r="D24" t="str">
            <v>8809820740101</v>
          </cell>
          <cell r="E24" t="str">
            <v>Chuốt mi MUDE (INSPIRE LONGLASH CURLING MASCARA 02 BROWN, 10ml)</v>
          </cell>
        </row>
        <row r="25">
          <cell r="D25" t="str">
            <v>8809820741658</v>
          </cell>
          <cell r="E25" t="str">
            <v>Chuốt mi MUDE (INSPIRE LONGLASH CURLING MASCARA 02 BROWN, 8ml)</v>
          </cell>
        </row>
        <row r="26">
          <cell r="D26" t="str">
            <v>8809820740651</v>
          </cell>
          <cell r="E26" t="str">
            <v>Chuốt mi MUDE (INSPIRE SKINNY CURLING MASCARA 01 BLACK, 3ml)</v>
          </cell>
        </row>
        <row r="27">
          <cell r="D27" t="str">
            <v>8809820740668</v>
          </cell>
          <cell r="E27" t="str">
            <v>Chuốt mi MUDE (INSPIRE SKINNY CURLING MASCARA 02 BROWN, 3ml)</v>
          </cell>
        </row>
        <row r="28">
          <cell r="D28" t="str">
            <v>8809820740675</v>
          </cell>
          <cell r="E28" t="str">
            <v>Chuốt mi MUDE (INSPIRE SKINNY CURLING MASCARA 03 ESPRESSO, 3ml)</v>
          </cell>
        </row>
        <row r="29">
          <cell r="D29" t="str">
            <v>8809820741665</v>
          </cell>
          <cell r="E29" t="str">
            <v>Chuốt mi MUDE (INSPIRE VOLUME CURLING MASCARA 01 BLACK, 08ml)</v>
          </cell>
        </row>
        <row r="30">
          <cell r="D30" t="str">
            <v>8809820740071</v>
          </cell>
          <cell r="E30" t="str">
            <v>Chuốt mi MUDE (INSPIRE VOLUME CURLING MASCARA 01 BLACK, 10ml)</v>
          </cell>
        </row>
        <row r="31">
          <cell r="D31" t="str">
            <v>8809820740088</v>
          </cell>
          <cell r="E31" t="str">
            <v>Chuốt mi MUDE (INSPIRE VOLUME CURLING MASCARA 02 BROWN, 10ml)</v>
          </cell>
        </row>
        <row r="32">
          <cell r="D32" t="str">
            <v>8809820741344</v>
          </cell>
          <cell r="E32" t="str">
            <v>Cọ chải lông mi và lông mày MUDE (DUAL EYELASH BRUSH)</v>
          </cell>
        </row>
        <row r="33">
          <cell r="D33" t="str">
            <v>8809820741351</v>
          </cell>
          <cell r="E33" t="str">
            <v>Cọ má hồng MUDE</v>
          </cell>
        </row>
        <row r="34">
          <cell r="D34" t="str">
            <v>8936233680141</v>
          </cell>
          <cell r="E34" t="str">
            <v>Cọ môi MUDE</v>
          </cell>
        </row>
        <row r="35">
          <cell r="D35" t="str">
            <v>8936233680110</v>
          </cell>
          <cell r="E35" t="str">
            <v>Cọ môi silicone GLAMRR Q (SILICONE LIP BRUSH)</v>
          </cell>
        </row>
        <row r="36">
          <cell r="D36" t="str">
            <v>8936233680356</v>
          </cell>
          <cell r="E36" t="str">
            <v>Cọ rửa mặt hai đầu DAOIDA (DUO CLEAN BRUSH)</v>
          </cell>
        </row>
        <row r="37">
          <cell r="D37" t="str">
            <v>8936233680226</v>
          </cell>
          <cell r="E37" t="str">
            <v>Cọ son môi đầu tròn</v>
          </cell>
        </row>
        <row r="38">
          <cell r="D38" t="str">
            <v>8936233680493</v>
          </cell>
          <cell r="E38" t="str">
            <v>Cọ tán nền GLAMRR Q (SPATULA WIDE FOUNDATION BRUSH)</v>
          </cell>
        </row>
        <row r="39">
          <cell r="D39" t="str">
            <v>8936233680288</v>
          </cell>
          <cell r="E39" t="str">
            <v>ĐÁ MASSAGE GUASHA GILAA</v>
          </cell>
        </row>
        <row r="40">
          <cell r="D40" t="str">
            <v>8936233680523</v>
          </cell>
          <cell r="E40" t="str">
            <v>Hộp Giấy Quà Tặng DAOIDA (Combo Pack Cleanser &amp; Cleansing Balm Kèm Thiệp)</v>
          </cell>
        </row>
        <row r="41">
          <cell r="D41" t="str">
            <v>8936233680615</v>
          </cell>
          <cell r="E41" t="str">
            <v>HỘP QUÀ DE MEMORIA (BODYCARE &amp; HANDCREAM)</v>
          </cell>
        </row>
        <row r="42">
          <cell r="D42" t="str">
            <v>8936233680035</v>
          </cell>
          <cell r="E42" t="str">
            <v>Hộp quà DE MEMORIA (BODYCARE)</v>
          </cell>
        </row>
        <row r="43">
          <cell r="D43" t="str">
            <v>8936233680097</v>
          </cell>
          <cell r="E43" t="str">
            <v>Hộp quà GILAA COLLAGEN 5K</v>
          </cell>
        </row>
        <row r="44">
          <cell r="D44" t="str">
            <v>8809954940958</v>
          </cell>
          <cell r="E44" t="str">
            <v>Kẻ mắt GLAMRR Q (VEGAN SUPER STAY EYELINER, 0.6g)</v>
          </cell>
        </row>
        <row r="45">
          <cell r="D45" t="str">
            <v>8809882040201</v>
          </cell>
          <cell r="E45" t="str">
            <v>Kem dưỡng da mắt MEDIFORCELL (PREJUVENATION RETINAL EYE CREAM, 25ml)</v>
          </cell>
        </row>
        <row r="46">
          <cell r="D46" t="str">
            <v>8809882040157</v>
          </cell>
          <cell r="E46" t="str">
            <v>Kem dưỡng da MEDIFORCELL (PREJUVENATION RETINAL FACE CREAM, 50ml)</v>
          </cell>
        </row>
        <row r="47">
          <cell r="D47" t="str">
            <v>8809882040164</v>
          </cell>
          <cell r="E47" t="str">
            <v>Kem dưỡng da MEDIFORCELL (ULTRA HYALURONIC ACID CREAM, 100ml)</v>
          </cell>
        </row>
        <row r="48">
          <cell r="D48" t="str">
            <v>8809563708796</v>
          </cell>
          <cell r="E48" t="str">
            <v>Kem dưỡng da tay DE MEMORIA (SCENTED MOISTURIZING HAND CREAM VANILLA ON MARS, 50ml)</v>
          </cell>
        </row>
        <row r="49">
          <cell r="D49" t="str">
            <v>8806158589006</v>
          </cell>
          <cell r="E49" t="str">
            <v>Kem dưỡng da tay DE MEMORIA (SCENTED MOISTURIZING HAND CREAM VANILLA ON MARS, 50ml)</v>
          </cell>
        </row>
        <row r="50">
          <cell r="D50" t="str">
            <v>8809800462030</v>
          </cell>
          <cell r="E50" t="str">
            <v>Kem dưỡng da VEGICK (SUPERFOOD + B5 MOISTURE CREAM, 50ml)</v>
          </cell>
        </row>
        <row r="51">
          <cell r="D51" t="str">
            <v>8800296554797</v>
          </cell>
          <cell r="E51" t="str">
            <v>Kem nền GLAMRR Q (DAILY SKINTINT SERUM VEGAN FOUNDATION 0.7, 30ml)</v>
          </cell>
        </row>
        <row r="52">
          <cell r="D52" t="str">
            <v>8800296553493</v>
          </cell>
          <cell r="E52" t="str">
            <v>Kem nền GLAMRR Q (DAILY SKINTINT SERUM VEGAN FOUNDATION 01, 30ml)</v>
          </cell>
        </row>
        <row r="53">
          <cell r="D53" t="str">
            <v>8800296553509</v>
          </cell>
          <cell r="E53" t="str">
            <v>Kem nền GLAMRR Q (DAILY SKINTINT SERUM VEGAN FOUNDATION 02, 30ml)</v>
          </cell>
        </row>
        <row r="54">
          <cell r="D54" t="str">
            <v>8936233680646</v>
          </cell>
          <cell r="E54" t="str">
            <v>Kẹp tóc nhựa DE MEMORIA (PLASTIC CLAW CLIP)</v>
          </cell>
        </row>
        <row r="55">
          <cell r="D55" t="str">
            <v>8936233680639</v>
          </cell>
          <cell r="E55" t="str">
            <v>Kẹp tóc nhựa GLAMRR Q (PLASTIC CLAW CLIP)</v>
          </cell>
        </row>
        <row r="56">
          <cell r="D56" t="str">
            <v>8936233680622</v>
          </cell>
          <cell r="E56" t="str">
            <v>Kẹp tóc nhựa PLU (PLASTIC CLAW CLIP)</v>
          </cell>
        </row>
        <row r="57">
          <cell r="D57" t="str">
            <v>8936233680448</v>
          </cell>
          <cell r="E57" t="str">
            <v>Khăn mặt nạ DAOIDA (FACIAL MASK TOWEL)</v>
          </cell>
        </row>
        <row r="58">
          <cell r="D58" t="str">
            <v>8809864750937</v>
          </cell>
          <cell r="E58" t="str">
            <v>Lõi phấn nước trang điểm GLAMRR Q (LONG WEAR DD CUSHION #01 LIGHT BEIGE, 13g)</v>
          </cell>
        </row>
        <row r="59">
          <cell r="D59" t="str">
            <v>8809864750944</v>
          </cell>
          <cell r="E59" t="str">
            <v>Lõi phấn nước trang điểm GLAMRR Q (LONG WEAR DD CUSHION #02 NATURAL BEIGE, 13g)</v>
          </cell>
        </row>
        <row r="60">
          <cell r="D60" t="str">
            <v>6970758099615</v>
          </cell>
          <cell r="E60" t="str">
            <v>Lược tạo kiểu Unisex VACOSI (STYLING HAIRBRUSH) - C04</v>
          </cell>
        </row>
        <row r="61">
          <cell r="D61" t="str">
            <v>8809491947830</v>
          </cell>
          <cell r="E61" t="str">
            <v>Má Hồng Kem Căng Bóng GLAMRR Q (GLOW LASTING FRESH BLUSH #01 PINK SECRET 3.8g)</v>
          </cell>
        </row>
        <row r="62">
          <cell r="D62" t="str">
            <v>8809491947847</v>
          </cell>
          <cell r="E62" t="str">
            <v>Má Hồng Kem Căng Bóng GLAMRR Q (GLOW LASTING FRESH BLUSH #02 PEACH PLOT 3.8g)</v>
          </cell>
        </row>
        <row r="63">
          <cell r="D63" t="str">
            <v>8809491947854</v>
          </cell>
          <cell r="E63" t="str">
            <v>Má Hồng Kem Căng Bóng GLAMRR Q (GLOW LASTING FRESH BLUSH #03 VIOLET DRAMA 3.8g)</v>
          </cell>
        </row>
        <row r="64">
          <cell r="D64" t="str">
            <v>8809491947861</v>
          </cell>
          <cell r="E64" t="str">
            <v>Má Hồng Kem Căng Bóng GLAMRR Q (GLOW LASTING FRESH BLUSH #04 RED RUMOR 3.8g)</v>
          </cell>
        </row>
        <row r="65">
          <cell r="D65" t="str">
            <v>8800250592445</v>
          </cell>
          <cell r="E65" t="str">
            <v>Má hồng kem đa năng #01 GLAMRR Q (MELLOW TOUCH LIP&amp;CHEEK POT SUNRISE O’CLOCK, 1.8g)</v>
          </cell>
        </row>
        <row r="66">
          <cell r="D66" t="str">
            <v>8800250592452</v>
          </cell>
          <cell r="E66" t="str">
            <v>Má hồng kem đa năng #02 GLAMRR Q (MELLOW TOUCH LIP&amp;CHEEK POT POWER LUNCH, 1.8g)</v>
          </cell>
        </row>
        <row r="67">
          <cell r="D67" t="str">
            <v>8800250592469</v>
          </cell>
          <cell r="E67" t="str">
            <v>Má hồng kem đa năng #03 GLAMRR Q (MELLOW TOUCH LIP&amp;CHEEK POT SWEET DATE, 1.8g)</v>
          </cell>
        </row>
        <row r="68">
          <cell r="D68" t="str">
            <v>8800250592476</v>
          </cell>
          <cell r="E68" t="str">
            <v>Má hồng kem đa năng #04 GLAMRR Q (MELLOW TOUCH LIP&amp;CHEEK POT TIL’ THE NIGHT, 1.8g)</v>
          </cell>
        </row>
        <row r="69">
          <cell r="D69" t="str">
            <v>8809882040133</v>
          </cell>
          <cell r="E69" t="str">
            <v>Mặt nạ ngủ MEDIFORCELL (SUPER NIACINAMIDE TONING SLEEPING MASK, 60g)</v>
          </cell>
        </row>
        <row r="70">
          <cell r="D70" t="str">
            <v>8809563069194</v>
          </cell>
          <cell r="E70" t="str">
            <v>Mặt nạ ngủ môi GILAA (VEGAN B5 SUPER LIP SLEEPING MASK, 10ml)</v>
          </cell>
        </row>
        <row r="71">
          <cell r="D71" t="str">
            <v>8809563069910</v>
          </cell>
          <cell r="E71" t="str">
            <v>Mặt nạ ngủ môi GLAMRR Q (VEGAN B5 SUPER LIP SLEEPING MASK, 10ml)</v>
          </cell>
        </row>
        <row r="72">
          <cell r="D72" t="str">
            <v>8936233680325</v>
          </cell>
          <cell r="E72" t="str">
            <v>Máy massage mắt VEGICK</v>
          </cell>
        </row>
        <row r="73">
          <cell r="D73" t="str">
            <v>8936233680455</v>
          </cell>
          <cell r="E73" t="str">
            <v>Máy sấy tóc hiệu CWELL 1200W, Model C02HD, màu trắng</v>
          </cell>
        </row>
        <row r="74">
          <cell r="D74" t="str">
            <v>8936233680431</v>
          </cell>
          <cell r="E74" t="str">
            <v>Máy sấy tóc hiệu CWELL 1200W, Model C02HD, màu xám</v>
          </cell>
        </row>
        <row r="75">
          <cell r="D75" t="str">
            <v>8936233680479</v>
          </cell>
          <cell r="E75" t="str">
            <v>Máy sấy tóc hiệu CWELL 1800W, Model C05HD, màu xám</v>
          </cell>
        </row>
        <row r="76">
          <cell r="D76" t="str">
            <v>8936233680424</v>
          </cell>
          <cell r="E76" t="str">
            <v>Mút rửa mặt DAOIDA (FACIAL CLEANSING SPONGE)</v>
          </cell>
        </row>
        <row r="77">
          <cell r="D77" t="str">
            <v>8936233680363</v>
          </cell>
          <cell r="E77" t="str">
            <v>NHÃN DÁN TRY ME (19 TEM)</v>
          </cell>
        </row>
        <row r="78">
          <cell r="D78" t="str">
            <v>8809820741368</v>
          </cell>
          <cell r="E78" t="str">
            <v>Nhíp lông mi MUDE</v>
          </cell>
        </row>
        <row r="79">
          <cell r="D79" t="str">
            <v>8809882040195</v>
          </cell>
          <cell r="E79" t="str">
            <v>Nước cân bằng da Mediforcell (ULTRA HYALURONIC ACID TONER, 300ML)</v>
          </cell>
        </row>
        <row r="80">
          <cell r="D80" t="str">
            <v>8809639176092</v>
          </cell>
          <cell r="E80" t="str">
            <v>Nước cân bằng da VEGICK (SUPERFOOD PHA + BHA PORE TONER, 210ml)</v>
          </cell>
        </row>
        <row r="81">
          <cell r="D81" t="str">
            <v>8809738598658</v>
          </cell>
          <cell r="E81" t="str">
            <v>Nước hoa DE MEMORIA (BAGAN #12, 30ml)</v>
          </cell>
        </row>
        <row r="82">
          <cell r="D82" t="str">
            <v>8809738603512</v>
          </cell>
          <cell r="E82" t="str">
            <v>Nước hoa DE MEMORIA (DRESDEN #04, 30ml)</v>
          </cell>
        </row>
        <row r="83">
          <cell r="D83" t="str">
            <v>8809738605509</v>
          </cell>
          <cell r="E83" t="str">
            <v>Nước hoa DE MEMORIA (GRANADA #03, 30ml)</v>
          </cell>
        </row>
        <row r="84">
          <cell r="D84" t="str">
            <v>8809738598610</v>
          </cell>
          <cell r="E84" t="str">
            <v>Nước hoa DE MEMORIA (IPOH #08, 30ml)</v>
          </cell>
        </row>
        <row r="85">
          <cell r="D85" t="str">
            <v>8809738603482</v>
          </cell>
          <cell r="E85" t="str">
            <v>Nước hoa DE MEMORIA (MONTPELLIER #05, 30ml)</v>
          </cell>
        </row>
        <row r="86">
          <cell r="D86" t="str">
            <v>8809738603505</v>
          </cell>
          <cell r="E86" t="str">
            <v>Nước hoa DE MEMORIA (SPELLO #01, 30ml)</v>
          </cell>
        </row>
        <row r="87">
          <cell r="D87" t="str">
            <v>8809738603499</v>
          </cell>
          <cell r="E87" t="str">
            <v>Nước hoa DE MEMORIA (VAL DE LOIRE #02, 30ml)</v>
          </cell>
        </row>
        <row r="88">
          <cell r="D88" t="str">
            <v>8809331313412</v>
          </cell>
          <cell r="E88" t="str">
            <v>Nước tẩy trang vùng mắt GLAMRR Q (VEGAN SUPER EYE REMOVER, 35ml)</v>
          </cell>
        </row>
        <row r="89">
          <cell r="D89" t="str">
            <v>8809820740286</v>
          </cell>
          <cell r="E89" t="str">
            <v>Phấn má MUDE (FLUTTER BLUSHER 01 PIT A PAT, 5g)</v>
          </cell>
        </row>
        <row r="90">
          <cell r="D90" t="str">
            <v>8809820740293</v>
          </cell>
          <cell r="E90" t="str">
            <v>Phấn má MUDE (FLUTTER BLUSHER 02 PITCH A PEACH, 5g)</v>
          </cell>
        </row>
        <row r="91">
          <cell r="D91" t="str">
            <v>8809820740316</v>
          </cell>
          <cell r="E91" t="str">
            <v>Phấn má MUDE (FLUTTER BLUSHER 04 MAUVE NOTE, 5g)</v>
          </cell>
        </row>
        <row r="92">
          <cell r="D92" t="str">
            <v>8809820740941</v>
          </cell>
          <cell r="E92" t="str">
            <v>Phấn má MUDE (FLUTTER BLUSHER 07 AFTERNOON CORAL, 5g)</v>
          </cell>
        </row>
        <row r="93">
          <cell r="D93" t="str">
            <v>8809820740972</v>
          </cell>
          <cell r="E93" t="str">
            <v>Phấn má MUDE (FLUTTER BLUSHER 10 HEAVEN PINK, 5g)</v>
          </cell>
        </row>
        <row r="94">
          <cell r="D94" t="str">
            <v>8809864752238</v>
          </cell>
          <cell r="E94" t="str">
            <v>Phấn nước trang điểm GLAMRR Q (LONG WEAR DD CUSHION #01 LIGHT BEIGE, 13g)</v>
          </cell>
        </row>
        <row r="95">
          <cell r="D95" t="str">
            <v>8809864752245</v>
          </cell>
          <cell r="E95" t="str">
            <v>Phấn nước trang điểm GLAMRR Q (LONG WEAR DD CUSHION #02 NATURAL BEIGE, 13g)</v>
          </cell>
        </row>
        <row r="96">
          <cell r="D96" t="str">
            <v>8809875904862</v>
          </cell>
          <cell r="E96" t="str">
            <v>Phấn nước trang điểm GLAMRR Q (VEGAN SUPER COVER CUSHION #01 LIGHT BEIGE, 15g)</v>
          </cell>
        </row>
        <row r="97">
          <cell r="D97" t="str">
            <v>8809875904879</v>
          </cell>
          <cell r="E97" t="str">
            <v>Phấn nước trang điểm GLAMRR Q (VEGAN SUPER COVER CUSHION #02 NATURAL BEIGE, 15g)</v>
          </cell>
        </row>
        <row r="98">
          <cell r="D98" t="str">
            <v>8809526841393</v>
          </cell>
          <cell r="E98" t="str">
            <v>Phấn nước trang điểm GLAMRR Q (VEGAN SUPER GLOW CUSHION #01 LIGHT BEIGE, 15g)</v>
          </cell>
        </row>
        <row r="99">
          <cell r="D99" t="str">
            <v>8809526841409</v>
          </cell>
          <cell r="E99" t="str">
            <v>Phấn nước trang điểm GLAMRR Q (VEGAN SUPER GLOW CUSHION #02 NATURAL BEIGE, 15g)</v>
          </cell>
        </row>
        <row r="100">
          <cell r="D100" t="str">
            <v>8809820741788</v>
          </cell>
          <cell r="E100" t="str">
            <v>Phấn nước trang điểm MUDE (SOFT SILKY FIT CUSHION #21 LIGHT BEIGE, 15g)</v>
          </cell>
        </row>
        <row r="101">
          <cell r="D101" t="str">
            <v>8809820741795</v>
          </cell>
          <cell r="E101" t="str">
            <v>Phấn nước trang điểm MUDE (SOFT SILKY FIT CUSHION #23 NATURAL BEIGE, 15g)</v>
          </cell>
        </row>
        <row r="102">
          <cell r="D102" t="str">
            <v>8809526841881</v>
          </cell>
          <cell r="E102" t="str">
            <v>Phấn phủ BAD PEACH (OIL LESS FUN MORE POWDER #01 OIL CLEAR, 4g)</v>
          </cell>
        </row>
        <row r="103">
          <cell r="D103" t="str">
            <v>8809526841898</v>
          </cell>
          <cell r="E103" t="str">
            <v>Phấn phủ BAD PEACH (OIL LESS FUN MORE POWDER #02 BABY GLOW, 4g)</v>
          </cell>
        </row>
        <row r="104">
          <cell r="D104" t="str">
            <v>8809526841904</v>
          </cell>
          <cell r="E104" t="str">
            <v>Phấn phủ BAD PEACH (OIL LESS FUN MORE POWDER #03 BLUR COVER, 4g)</v>
          </cell>
        </row>
        <row r="105">
          <cell r="D105" t="str">
            <v>8936233680486</v>
          </cell>
          <cell r="E105" t="str">
            <v>Quạt cầm tay GLAMRR Q (HAND-HELD MINI FAN)</v>
          </cell>
        </row>
        <row r="106">
          <cell r="D106" t="str">
            <v>8936233680011</v>
          </cell>
          <cell r="E106" t="str">
            <v>Sáp tẩy trang thảo mộc và đất sét DAOIDA (FRESH HERBAL CLEANSING BALM WITH CLAY, 75g)</v>
          </cell>
        </row>
        <row r="107">
          <cell r="D107" t="str">
            <v>8809820741474</v>
          </cell>
          <cell r="E107" t="str">
            <v>Set bông mút MUDE (SOFT SILKY FIT CUSHION PUFF SET, 2 cái)</v>
          </cell>
        </row>
        <row r="108">
          <cell r="D108" t="str">
            <v>8936233680349</v>
          </cell>
          <cell r="E108" t="str">
            <v>Set phấn phủ BAD PEACH kèm cọ</v>
          </cell>
        </row>
        <row r="109">
          <cell r="D109" t="str">
            <v>8809491946154</v>
          </cell>
          <cell r="E109" t="str">
            <v>Son môi GLAMRR Q (LONG WEAR LIP CREAM #01 GLAD DAY, 5g)</v>
          </cell>
        </row>
        <row r="110">
          <cell r="D110" t="str">
            <v>8809491946161</v>
          </cell>
          <cell r="E110" t="str">
            <v>Son môi GLAMRR Q (LONG WEAR LIP CREAM #02 LOVELY DAY, 5g)</v>
          </cell>
        </row>
        <row r="111">
          <cell r="D111" t="str">
            <v>8809491946178</v>
          </cell>
          <cell r="E111" t="str">
            <v>Son môi GLAMRR Q (LONG WEAR LIP CREAM #03 SUNSHINE DAY, 5g)</v>
          </cell>
        </row>
        <row r="112">
          <cell r="D112" t="str">
            <v>8809491946185</v>
          </cell>
          <cell r="E112" t="str">
            <v>Son môi GLAMRR Q (LONG WEAR LIP CREAM #04 FIRST DAY, 5g)</v>
          </cell>
        </row>
        <row r="113">
          <cell r="D113" t="str">
            <v>8809491946192</v>
          </cell>
          <cell r="E113" t="str">
            <v>Son môi GLAMRR Q (LONG WEAR LIP CREAM #05 GLOOMY DAY, 5g)</v>
          </cell>
        </row>
        <row r="114">
          <cell r="D114" t="str">
            <v>8809491946208</v>
          </cell>
          <cell r="E114" t="str">
            <v>Son môi GLAMRR Q (LONG WEAR LIP CREAM #06 RAINY DAY, 5g)</v>
          </cell>
        </row>
        <row r="115">
          <cell r="D115" t="str">
            <v>8809491946215</v>
          </cell>
          <cell r="E115" t="str">
            <v>Son môi GLAMRR Q (LONG WEAR LIP CREAM #07 RED-LETTER DAY, 5g)</v>
          </cell>
        </row>
        <row r="116">
          <cell r="D116" t="str">
            <v>8809491946222</v>
          </cell>
          <cell r="E116" t="str">
            <v>Son môi GLAMRR Q (LONG WEAR LIP CREAM #08 TAKE A SIP, 5g)</v>
          </cell>
        </row>
        <row r="117">
          <cell r="D117" t="str">
            <v>8809491946239</v>
          </cell>
          <cell r="E117" t="str">
            <v>Son môi GLAMRR Q (LONG WEAR LIP CREAM #09 HEI HEI, 5g)</v>
          </cell>
        </row>
        <row r="118">
          <cell r="D118" t="str">
            <v>8809491946246</v>
          </cell>
          <cell r="E118" t="str">
            <v>Son môi GLAMRR Q (LONG WEAR LIP CREAM #10 MAY BEAUTY, 5g)</v>
          </cell>
        </row>
        <row r="119">
          <cell r="D119" t="str">
            <v>8809491946253</v>
          </cell>
          <cell r="E119" t="str">
            <v>Son môi GLAMRR Q (LONG WEAR LIP CREAM #11 SET SAIL, 5g)</v>
          </cell>
        </row>
        <row r="120">
          <cell r="D120" t="str">
            <v>8809491946260</v>
          </cell>
          <cell r="E120" t="str">
            <v>Son môi GLAMRR Q (LONG WEAR LIP CREAM #12 LAVISH, 5g)</v>
          </cell>
        </row>
        <row r="121">
          <cell r="D121" t="str">
            <v>8809491946277</v>
          </cell>
          <cell r="E121" t="str">
            <v>Son môi GLAMRR Q (LONG WEAR LIP CREAM #13 CURSE REVERSE, 5g)</v>
          </cell>
        </row>
        <row r="122">
          <cell r="D122" t="str">
            <v>8809783326770</v>
          </cell>
          <cell r="E122" t="str">
            <v>Son môi GLAMRR Q (V​E​G​A​N S​U​P​E​R L​I​P B​A​L​M 0​0 O​R​A​N​G​I​E, 4.5g)</v>
          </cell>
        </row>
        <row r="123">
          <cell r="D123" t="str">
            <v>8809783326787</v>
          </cell>
          <cell r="E123" t="str">
            <v>Son môi GLAMRR Q (V​E​G​A​N S​U​P​E​R L​I​P B​A​L​M 0​1 C​H​E​R​I​E, 4.5g)</v>
          </cell>
        </row>
        <row r="124">
          <cell r="D124" t="str">
            <v>8809783326794</v>
          </cell>
          <cell r="E124" t="str">
            <v>Son môi GLAMRR Q (V​E​G​A​N S​U​P​E​R L​I​P B​A​L​M 0​2 A​P​P​L​E​-​Y, 4.5g)</v>
          </cell>
        </row>
        <row r="125">
          <cell r="D125" t="str">
            <v>8809783326800</v>
          </cell>
          <cell r="E125" t="str">
            <v>Son môi GLAMRR Q (V​E​G​A​N S​U​P​E​R L​I​P B​A​L​M 0​3 G​R​A​P​E​F​U​L, 4.5g)</v>
          </cell>
        </row>
        <row r="126">
          <cell r="D126" t="str">
            <v>8809783326817</v>
          </cell>
          <cell r="E126" t="str">
            <v>Son môi GLAMRR Q (V​E​G​A​N S​U​P​E​R L​I​P B​A​L​M 0​4 O​'​P​E​A​C​H, 4.5g)</v>
          </cell>
        </row>
        <row r="127">
          <cell r="D127" t="str">
            <v>8809783326824</v>
          </cell>
          <cell r="E127" t="str">
            <v>Son môi GLAMRR Q (V​E​G​A​N S​U​P​E​R L​I​P B​A​L​M 0​5 P​L​U​M​'​D, 4.5g)</v>
          </cell>
        </row>
        <row r="128">
          <cell r="D128" t="str">
            <v>8809820740842</v>
          </cell>
          <cell r="E128" t="str">
            <v>Son môi MUDE (SOFT BLUR TINT 11 MAPLE, 3g)</v>
          </cell>
        </row>
        <row r="129">
          <cell r="D129" t="str">
            <v>8809820740910</v>
          </cell>
          <cell r="E129" t="str">
            <v>Son môi MUDE (SOFT BLUR TINT 12 INSPIRE, 1.8g)</v>
          </cell>
        </row>
        <row r="130">
          <cell r="D130" t="str">
            <v>8809820740859</v>
          </cell>
          <cell r="E130" t="str">
            <v>Son môi MUDE (SOFT BLUR TINT 12 INSPIRE, 3g)</v>
          </cell>
        </row>
        <row r="131">
          <cell r="D131" t="str">
            <v>8809820740866</v>
          </cell>
          <cell r="E131" t="str">
            <v>Son môi MUDE (SOFT BLUR TINT 13 BERRY POT, 3g)</v>
          </cell>
        </row>
        <row r="132">
          <cell r="D132" t="str">
            <v>8809820740873</v>
          </cell>
          <cell r="E132" t="str">
            <v>Son môi MUDE (SOFT BLUR TINT 14 BURNT SIENNA, 3g)</v>
          </cell>
        </row>
        <row r="133">
          <cell r="D133" t="str">
            <v>8809563708079</v>
          </cell>
          <cell r="E133" t="str">
            <v>Sữa dưỡng thể DE MEMORIA (SCENTED WHITENING BODY LOTION JASMINE ON MOON, 300ml)</v>
          </cell>
        </row>
        <row r="134">
          <cell r="D134" t="str">
            <v>8809563708086</v>
          </cell>
          <cell r="E134" t="str">
            <v>Sữa dưỡng thể DE MEMORIA (SCENTED WHITENING BODY LOTION ROSE ON VENUS, 300ml)</v>
          </cell>
        </row>
        <row r="135">
          <cell r="D135" t="str">
            <v>8809563708093</v>
          </cell>
          <cell r="E135" t="str">
            <v>Sữa dưỡng thể DE MEMORIA (SCENTED WHITENING BODY LOTION VANILLA ON MARS, 300ml)</v>
          </cell>
        </row>
        <row r="136">
          <cell r="D136" t="str">
            <v>8809639178324</v>
          </cell>
          <cell r="E136" t="str">
            <v>Sữa rửa mặt ​VE​G​I​C​K (S​U​P​E​R​F​O​O​D O​I​L T​O F​O​A​M D​O​U​B​L​E C​L​E​A​N​S​E​R, 50ml)</v>
          </cell>
        </row>
        <row r="137">
          <cell r="D137" t="str">
            <v>8809639176764</v>
          </cell>
          <cell r="E137" t="str">
            <v>Sữa rửa mặt ​VEGICK (S​U​P​E​R​F​O​O​D O​I​L T​O F​O​A​M D​O​U​B​L​E C​L​E​A​N​S​E​R, 195ml)</v>
          </cell>
        </row>
        <row r="138">
          <cell r="D138" t="str">
            <v>8936233680004</v>
          </cell>
          <cell r="E138" t="str">
            <v>SỮA RỬA MẶT (DAOIDA FRESH HERBAL PACK CLEANSER, 120g)</v>
          </cell>
        </row>
        <row r="139">
          <cell r="D139" t="str">
            <v>8809563069279</v>
          </cell>
          <cell r="E139" t="str">
            <v>Sữa tắm DE MEMORIA (SCENTED BRIGHTENING BODY CLEANSER JASMINE ON MOON, 300ml)</v>
          </cell>
        </row>
        <row r="140">
          <cell r="D140" t="str">
            <v>8809563069286</v>
          </cell>
          <cell r="E140" t="str">
            <v>Sữa tắm DE MEMORIA (SCENTED BRIGHTENING BODY CLEANSER ROSE ON VENUS, 300ml)</v>
          </cell>
        </row>
        <row r="141">
          <cell r="D141" t="str">
            <v>8809563069293</v>
          </cell>
          <cell r="E141" t="str">
            <v>Sữa tắm DE MEMORIA (SCENTED BRIGHTENING BODY CLEANSER VANILLA ON MARS, 300ml)</v>
          </cell>
        </row>
        <row r="142">
          <cell r="D142" t="str">
            <v>8809237071010</v>
          </cell>
          <cell r="E142" t="str">
            <v>Sữa tắm PLU  (PERFUMED SPA SCRUB BODY WASH BOTANICAL BERRY, 500g)</v>
          </cell>
        </row>
        <row r="143">
          <cell r="D143" t="str">
            <v>8809237070990</v>
          </cell>
          <cell r="E143" t="str">
            <v>Sữa tắm PLU (PERFUMED SPA SCRUB BODY WASH DAMASK ROSE, 500g)</v>
          </cell>
        </row>
        <row r="144">
          <cell r="D144" t="str">
            <v>8809237073816</v>
          </cell>
          <cell r="E144" t="str">
            <v>Tẩy tế bào chết cơ thể PLU (BODY SCRUB DAISY FLOWER, 200g)</v>
          </cell>
        </row>
        <row r="145">
          <cell r="D145" t="str">
            <v>8809237073809</v>
          </cell>
          <cell r="E145" t="str">
            <v>Tẩy tế bào chết cơ thể PLU (BODY SCRUB LILY VANILLA, 200g)</v>
          </cell>
        </row>
        <row r="146">
          <cell r="D146" t="str">
            <v>8809237073823</v>
          </cell>
          <cell r="E146" t="str">
            <v>Tẩy tế bào chết cơ thể PLU (BODY SCRUB PEONY BOUQUET, 200g)</v>
          </cell>
        </row>
        <row r="147">
          <cell r="D147" t="str">
            <v>8809237075261</v>
          </cell>
          <cell r="E147" t="str">
            <v>Tẩy tế bào chết da mặt PLU (BRIGHTENING PEELING GEL PEACH, 100g)</v>
          </cell>
        </row>
        <row r="148">
          <cell r="D148" t="str">
            <v>8809237073618</v>
          </cell>
          <cell r="E148" t="str">
            <v>Tẩy tế bào chết da mặt PLU (SOFT FACIAL SCRUB HONEY &amp; SUGAR, 100g)</v>
          </cell>
        </row>
        <row r="149">
          <cell r="D149" t="str">
            <v>8936233680240</v>
          </cell>
          <cell r="E149" t="str">
            <v>THANKS CARD VÒNG XOAY MAY MẮN DE MEMORIA</v>
          </cell>
        </row>
        <row r="150">
          <cell r="D150" t="str">
            <v>8936233680257</v>
          </cell>
          <cell r="E150" t="str">
            <v>THANKS CARD VÒNG XOAY MAY MẮN GILAA</v>
          </cell>
        </row>
        <row r="151">
          <cell r="D151" t="str">
            <v>8936233680264</v>
          </cell>
          <cell r="E151" t="str">
            <v>THANKS CARD VÒNG XOAY MAY MẮN GLAMRR Q</v>
          </cell>
        </row>
        <row r="152">
          <cell r="D152" t="str">
            <v>8936233680295</v>
          </cell>
          <cell r="E152" t="str">
            <v>THIỆP CẢM ƠN DAOIDA ECOM</v>
          </cell>
        </row>
        <row r="153">
          <cell r="D153" t="str">
            <v>8936233680301</v>
          </cell>
          <cell r="E153" t="str">
            <v>THIỆP CẢM ƠN DAOIDA WEBSITE</v>
          </cell>
        </row>
        <row r="154">
          <cell r="D154" t="str">
            <v>8809203078210</v>
          </cell>
          <cell r="E154" t="str">
            <v>Thực phẩm bổ sung GILAA (5K COLLAGEN BRIGHT BOOSTER WITH SAFFRON, 20g x 15), hộp 15 gói</v>
          </cell>
        </row>
        <row r="155">
          <cell r="D155" t="str">
            <v>8809203078227</v>
          </cell>
          <cell r="E155" t="str">
            <v>Thực phẩm bổ sung GILAA (5K COLLAGEN INNER BOOSTER WITH PEONY, 20g x 15), hộp 15 gói</v>
          </cell>
        </row>
        <row r="156">
          <cell r="D156" t="str">
            <v>8809545436532</v>
          </cell>
          <cell r="E156" t="str">
            <v>Thực phẩm bổ sung GILAA (Glow White Premium Glutathione C, 3g x 30), hộp 30 gói</v>
          </cell>
        </row>
        <row r="157">
          <cell r="D157" t="str">
            <v>8936233680332</v>
          </cell>
          <cell r="E157" t="str">
            <v>Thực phẩm bổ sung GILAA (PREMIUM SAFFRON COLLAGEN, 2g x 10), bịch 10 gói</v>
          </cell>
        </row>
        <row r="158">
          <cell r="D158" t="str">
            <v>8809133684932</v>
          </cell>
          <cell r="E158" t="str">
            <v>Thực phẩm bổ sung GILAA (PREMIUM SAFFRON COLLAGEN, 2g x 60), hộp 60 gói</v>
          </cell>
        </row>
        <row r="159">
          <cell r="D159" t="str">
            <v>8936233680530</v>
          </cell>
          <cell r="E159" t="str">
            <v>Tinh chất dưỡng da DAOIDA (GLOW WHITE CAPSULE SERUM, 30ml)</v>
          </cell>
        </row>
        <row r="160">
          <cell r="D160" t="str">
            <v>8809882040171</v>
          </cell>
          <cell r="E160" t="str">
            <v>Tinh chất dưỡng da MEDIFORCELL (PREJUVENATION RETINAL AMPOULE, 50ml)</v>
          </cell>
        </row>
        <row r="161">
          <cell r="D161" t="str">
            <v>8809882040188</v>
          </cell>
          <cell r="E161" t="str">
            <v>Tinh chất dưỡng da Mediforcell (ULTRA HYALURONIC ACID AMPOULE, 100ML)</v>
          </cell>
        </row>
        <row r="162">
          <cell r="D162" t="str">
            <v>8809563068333</v>
          </cell>
          <cell r="E162" t="str">
            <v>Tinh chất dưỡng da VEGICK (SUPER CALMING SERUM, 30ml)</v>
          </cell>
        </row>
        <row r="163">
          <cell r="D163" t="str">
            <v>8809563068340</v>
          </cell>
          <cell r="E163" t="str">
            <v>Tinh chất dưỡng da VEGICK (SUPER WHITENING SERUM, 30ml)</v>
          </cell>
        </row>
        <row r="164">
          <cell r="D164" t="str">
            <v>8809820741627</v>
          </cell>
          <cell r="E164" t="str">
            <v>Túi đựng đồ cá nhân MUDE (MAUVE POUCH)</v>
          </cell>
        </row>
        <row r="165">
          <cell r="D165" t="str">
            <v>8936233680509</v>
          </cell>
          <cell r="E165" t="str">
            <v>Túi đựng đồ trang điểm GILAA (COSMETICS BAG)</v>
          </cell>
        </row>
        <row r="166">
          <cell r="D166" t="str">
            <v>8936233680462</v>
          </cell>
          <cell r="E166" t="str">
            <v>Túi đựng đồ trang điểm GLAMRR Q (SILICONE COSMETICS BAG)</v>
          </cell>
        </row>
        <row r="167">
          <cell r="D167" t="str">
            <v>8936233680042</v>
          </cell>
          <cell r="E167" t="str">
            <v>Túi giấy MUDE</v>
          </cell>
        </row>
        <row r="168">
          <cell r="D168" t="str">
            <v>8936233680134</v>
          </cell>
          <cell r="E168" t="str">
            <v>Túi vải cao cấp GILAA</v>
          </cell>
        </row>
        <row r="169">
          <cell r="D169" t="str">
            <v>8936233680059</v>
          </cell>
          <cell r="E169" t="str">
            <v>Túi vải DE MEMORIA</v>
          </cell>
        </row>
        <row r="170">
          <cell r="D170" t="str">
            <v>8936233680318</v>
          </cell>
          <cell r="E170" t="str">
            <v>Vỏ hộp phấn nước kèm bông mút GLAMRR Q (AIR CUSHION COMPACT INCLUDING PUFF)</v>
          </cell>
        </row>
        <row r="171">
          <cell r="D171" t="str">
            <v>8809971486477</v>
          </cell>
          <cell r="E171" t="str">
            <v>Xịt khóa nền GLAMRR Q (VEGAN SUPER STAY MAKE UP FIXER 01 NATURAL BLUR 20ml)</v>
          </cell>
        </row>
        <row r="172">
          <cell r="D172" t="str">
            <v>8809971485210</v>
          </cell>
          <cell r="E172" t="str">
            <v>Xịt khóa nền GLAMRR Q (VEGAN SUPER STAY MAKE UP FIXER 01 NATURAL BLUR 50ml)</v>
          </cell>
        </row>
        <row r="173">
          <cell r="D173" t="str">
            <v>8800296553356</v>
          </cell>
          <cell r="E173" t="str">
            <v>Xịt khóa nền GLAMRR Q (VEGAN SUPER STAY MAKE UP FIXER 01 NATURAL BLUR, 130ml)</v>
          </cell>
        </row>
        <row r="174">
          <cell r="D174" t="str">
            <v>8809971486484</v>
          </cell>
          <cell r="E174" t="str">
            <v>Xịt khóa nền GLAMRR Q (VEGAN SUPER STAY MAKE UP FIXER 02 DEWY GLOW 20ml)</v>
          </cell>
        </row>
        <row r="175">
          <cell r="D175" t="str">
            <v>8809971485227</v>
          </cell>
          <cell r="E175" t="str">
            <v>Xịt khóa nền GLAMRR Q (VEGAN SUPER STAY MAKE UP FIXER 02 DEWY GLOW 50ml)</v>
          </cell>
        </row>
        <row r="176">
          <cell r="D176" t="str">
            <v>8800296553363</v>
          </cell>
          <cell r="E176" t="str">
            <v>Xịt khóa nền GLAMRR Q (VEGAN SUPER STAY MAKE UP FIXER 02 DEWY GLOW, 130ml)</v>
          </cell>
        </row>
        <row r="177">
          <cell r="D177" t="str">
            <v>8809268159398</v>
          </cell>
          <cell r="E177" t="str">
            <v>Xịt thơm cơ thể DE MEMORIA (BODY MIST #01 FIRST SNOW, 10ml)</v>
          </cell>
        </row>
        <row r="178">
          <cell r="D178" t="str">
            <v>8809268159350</v>
          </cell>
          <cell r="E178" t="str">
            <v>Xịt thơm cơ thể DE MEMORIA (BODY MIST #01 FIRST SNOW, 50ml)</v>
          </cell>
        </row>
        <row r="179">
          <cell r="D179" t="str">
            <v>8809268159367</v>
          </cell>
          <cell r="E179" t="str">
            <v>Xịt thơm cơ thể DE MEMORIA (BODY MIST #02 IN BLOSSOM, 50ml)</v>
          </cell>
        </row>
        <row r="180">
          <cell r="D180" t="str">
            <v>8809268159404</v>
          </cell>
          <cell r="E180" t="str">
            <v>Xịt thơm cơ thể DE MEMORIA (BODY MIST #03 POPCORN DATE, 10ml)</v>
          </cell>
        </row>
        <row r="181">
          <cell r="D181" t="str">
            <v>8809268159374</v>
          </cell>
          <cell r="E181" t="str">
            <v>Xịt thơm cơ thể DE MEMORIA (BODY MIST #03 POPCORN DATE, 50ml)</v>
          </cell>
        </row>
        <row r="182">
          <cell r="D182" t="str">
            <v>8809268159381</v>
          </cell>
          <cell r="E182" t="str">
            <v>Xịt thơm cơ thể DE MEMORIA (BODY MIST #04 HIS SHIRT, 50ml)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UAN GIAO" refreshedDate="46099.579918518517" backgroundQuery="1" createdVersion="8" refreshedVersion="8" minRefreshableVersion="3" recordCount="0" supportSubquery="1" supportAdvancedDrill="1" xr:uid="{380C8EBC-13E0-432E-9816-2996DF7165CE}">
  <cacheSource type="external" connectionId="1"/>
  <cacheFields count="3">
    <cacheField name="[Range].[Đối tác/Đơn phát sinh].[Đối tác/Đơn phát sinh]" caption="Đối tác/Đơn phát sinh" numFmtId="0" level="1">
      <sharedItems count="9">
        <s v="009/2025/PO/OQR-MUDE"/>
        <s v="011/2025/PO/OQR-MUDE"/>
        <s v="012/2025/PO/OQR-MUDE"/>
        <s v="B2B"/>
        <s v="BM631962340681DM"/>
        <s v="BM68698317418DM"/>
        <s v="Guardian"/>
        <s v="HASAKI"/>
        <s v="Mộc Beautiful"/>
      </sharedItems>
    </cacheField>
    <cacheField name="[Measures].[Sum of SL thực nhận]" caption="Sum of SL thực nhận" numFmtId="0" hierarchy="19" level="32767"/>
    <cacheField name="Dummy0" numFmtId="0" hierarchy="2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1">
    <cacheHierarchy uniqueName="[Range].[Đối tác/Đơn phát sinh]" caption="Đối tác/Đơn phát sinh" attribute="1" defaultMemberUniqueName="[Range].[Đối tác/Đơn phát sinh].[All]" allUniqueName="[Range].[Đối tác/Đơn phát sin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hân loại]" caption="Phân loại" attribute="1" defaultMemberUniqueName="[Range].[Phân loại].[All]" allUniqueName="[Range].[Phân loại].[All]" dimensionUniqueName="[Range]" displayFolder="" count="0" memberValueDatatype="130" unbalanced="0"/>
    <cacheHierarchy uniqueName="[Range].[Tháng phát sinh]" caption="Tháng phát sinh" attribute="1" defaultMemberUniqueName="[Range].[Tháng phát sinh].[All]" allUniqueName="[Range].[Tháng phát sinh].[All]" dimensionUniqueName="[Range]" displayFolder="" count="0" memberValueDatatype="130" unbalanced="0"/>
    <cacheHierarchy uniqueName="[Range].[SKU]" caption="SKU" attribute="1" defaultMemberUniqueName="[Range].[SKU].[All]" allUniqueName="[Range].[SKU].[All]" dimensionUniqueName="[Range]" displayFolder="" count="0" memberValueDatatype="130" unbalanced="0"/>
    <cacheHierarchy uniqueName="[Range].[Tên SP]" caption="Tên SP" attribute="1" defaultMemberUniqueName="[Range].[Tên SP].[All]" allUniqueName="[Range].[Tên SP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SL thực nhận]" caption="SL thực nhận" attribute="1" defaultMemberUniqueName="[Range].[SL thực nhận].[All]" allUniqueName="[Range].[SL thực nhận].[All]" dimensionUniqueName="[Range]" displayFolder="" count="2" memberValueDatatype="20" unbalanced="0"/>
    <cacheHierarchy uniqueName="[Range].[SL đã xuất]" caption="SL đã xuất" attribute="1" defaultMemberUniqueName="[Range].[SL đã xuất].[All]" allUniqueName="[Range].[SL đã xuất].[All]" dimensionUniqueName="[Range]" displayFolder="" count="0" memberValueDatatype="20" unbalanced="0"/>
    <cacheHierarchy uniqueName="[Range].[Còn lại]" caption="Còn lại" attribute="1" defaultMemberUniqueName="[Range].[Còn lại].[All]" allUniqueName="[Range].[Còn lại].[All]" dimensionUniqueName="[Range]" displayFolder="" count="0" memberValueDatatype="20" unbalanced="0"/>
    <cacheHierarchy uniqueName="[Range].[Tình trạng sản phẩm]" caption="Tình trạng sản phẩm" attribute="1" defaultMemberUniqueName="[Range].[Tình trạng sản phẩm].[All]" allUniqueName="[Range].[Tình trạng sản phẩm].[All]" dimensionUniqueName="[Range]" displayFolder="" count="0" memberValueDatatype="130" unbalanced="0"/>
    <cacheHierarchy uniqueName="[Range].[Hạn sử dụng sản phẩm]" caption="Hạn sử dụng sản phẩm" attribute="1" defaultMemberUniqueName="[Range].[Hạn sử dụng sản phẩm].[All]" allUniqueName="[Range].[Hạn sử dụng sản phẩm].[All]" dimensionUniqueName="[Range]" displayFolder="" count="0" memberValueDatatype="130" unbalanced="0"/>
    <cacheHierarchy uniqueName="[Range].[Ngày làm chuẩn]" caption="Ngày làm chuẩn" attribute="1" defaultMemberUniqueName="[Range].[Ngày làm chuẩn].[All]" allUniqueName="[Range].[Ngày làm chuẩn].[All]" dimensionUniqueName="[Range]" displayFolder="" count="0" memberValueDatatype="130" unbalanced="0"/>
    <cacheHierarchy uniqueName="[Range].[HSD tiêu chuẩn (tháng)]" caption="HSD tiêu chuẩn (tháng)" attribute="1" defaultMemberUniqueName="[Range].[HSD tiêu chuẩn (tháng)].[All]" allUniqueName="[Range].[HSD tiêu chuẩn (tháng)].[All]" dimensionUniqueName="[Range]" displayFolder="" count="0" memberValueDatatype="130" unbalanced="0"/>
    <cacheHierarchy uniqueName="[Range].[HSD còn lại (tháng)]" caption="HSD còn lại (tháng)" attribute="1" defaultMemberUniqueName="[Range].[HSD còn lại (tháng)].[All]" allUniqueName="[Range].[HSD còn lại (tháng)].[All]" dimensionUniqueName="[Range]" displayFolder="" count="0" memberValueDatatype="130" unbalanced="0"/>
    <cacheHierarchy uniqueName="[Range].[% hạn sản phẩm còn lại]" caption="% hạn sản phẩm còn lại" attribute="1" defaultMemberUniqueName="[Range].[% hạn sản phẩm còn lại].[All]" allUniqueName="[Range].[% hạn sản phẩm còn lại].[All]" dimensionUniqueName="[Range]" displayFolder="" count="0" memberValueDatatype="130" unbalanced="0"/>
    <cacheHierarchy uniqueName="[Range].[Mã tham chiếu]" caption="Mã tham chiếu" attribute="1" defaultMemberUniqueName="[Range].[Mã tham chiếu].[All]" allUniqueName="[Range].[Mã tham chiếu].[All]" dimensionUniqueName="[Range]" displayFolder="" count="0" memberValueDatatype="130" unbalanced="0"/>
    <cacheHierarchy uniqueName="[Range].[Ghi chú]" caption="Ghi chú" attribute="1" defaultMemberUniqueName="[Range].[Ghi chú].[All]" allUniqueName="[Range].[Ghi chú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L thực nhận]" caption="Sum of SL thực nhậ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Dummy0" caption="Đối tác/Đơn phát sinh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XUAN GIAO" refreshedDate="46099.580089467592" backgroundQuery="1" createdVersion="8" refreshedVersion="8" minRefreshableVersion="3" recordCount="0" supportSubquery="1" supportAdvancedDrill="1" xr:uid="{D34C7407-E851-4753-BEC2-76FE4AFD2532}">
  <cacheSource type="external" connectionId="1"/>
  <cacheFields count="3">
    <cacheField name="[Range].[Phân loại].[Phân loại]" caption="Phân loại" numFmtId="0" hierarchy="1" level="1">
      <sharedItems count="3">
        <s v="B2B"/>
        <s v="Boxme thu hồi"/>
        <s v="PO - hàng cấn móp"/>
      </sharedItems>
    </cacheField>
    <cacheField name="[Measures].[Sum of SL thực nhận]" caption="Sum of SL thực nhận" numFmtId="0" hierarchy="19" level="32767"/>
    <cacheField name="Dummy0" numFmtId="0" hierarchy="2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1">
    <cacheHierarchy uniqueName="[Range].[Đối tác/Đơn phát sinh]" caption="Đối tác/Đơn phát sinh" attribute="1" defaultMemberUniqueName="[Range].[Đối tác/Đơn phát sinh].[All]" allUniqueName="[Range].[Đối tác/Đơn phát sinh].[All]" dimensionUniqueName="[Range]" displayFolder="" count="0" memberValueDatatype="130" unbalanced="0"/>
    <cacheHierarchy uniqueName="[Range].[Phân loại]" caption="Phân loại" attribute="1" defaultMemberUniqueName="[Range].[Phân loại].[All]" allUniqueName="[Range].[Phân loại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háng phát sinh]" caption="Tháng phát sinh" attribute="1" defaultMemberUniqueName="[Range].[Tháng phát sinh].[All]" allUniqueName="[Range].[Tháng phát sinh].[All]" dimensionUniqueName="[Range]" displayFolder="" count="0" memberValueDatatype="130" unbalanced="0"/>
    <cacheHierarchy uniqueName="[Range].[SKU]" caption="SKU" attribute="1" defaultMemberUniqueName="[Range].[SKU].[All]" allUniqueName="[Range].[SKU].[All]" dimensionUniqueName="[Range]" displayFolder="" count="0" memberValueDatatype="130" unbalanced="0"/>
    <cacheHierarchy uniqueName="[Range].[Tên SP]" caption="Tên SP" attribute="1" defaultMemberUniqueName="[Range].[Tên SP].[All]" allUniqueName="[Range].[Tên SP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SL thực nhận]" caption="SL thực nhận" attribute="1" defaultMemberUniqueName="[Range].[SL thực nhận].[All]" allUniqueName="[Range].[SL thực nhận].[All]" dimensionUniqueName="[Range]" displayFolder="" count="0" memberValueDatatype="20" unbalanced="0"/>
    <cacheHierarchy uniqueName="[Range].[SL đã xuất]" caption="SL đã xuất" attribute="1" defaultMemberUniqueName="[Range].[SL đã xuất].[All]" allUniqueName="[Range].[SL đã xuất].[All]" dimensionUniqueName="[Range]" displayFolder="" count="0" memberValueDatatype="20" unbalanced="0"/>
    <cacheHierarchy uniqueName="[Range].[Còn lại]" caption="Còn lại" attribute="1" defaultMemberUniqueName="[Range].[Còn lại].[All]" allUniqueName="[Range].[Còn lại].[All]" dimensionUniqueName="[Range]" displayFolder="" count="0" memberValueDatatype="20" unbalanced="0"/>
    <cacheHierarchy uniqueName="[Range].[Tình trạng sản phẩm]" caption="Tình trạng sản phẩm" attribute="1" defaultMemberUniqueName="[Range].[Tình trạng sản phẩm].[All]" allUniqueName="[Range].[Tình trạng sản phẩm].[All]" dimensionUniqueName="[Range]" displayFolder="" count="0" memberValueDatatype="130" unbalanced="0"/>
    <cacheHierarchy uniqueName="[Range].[Hạn sử dụng sản phẩm]" caption="Hạn sử dụng sản phẩm" attribute="1" defaultMemberUniqueName="[Range].[Hạn sử dụng sản phẩm].[All]" allUniqueName="[Range].[Hạn sử dụng sản phẩm].[All]" dimensionUniqueName="[Range]" displayFolder="" count="0" memberValueDatatype="130" unbalanced="0"/>
    <cacheHierarchy uniqueName="[Range].[Ngày làm chuẩn]" caption="Ngày làm chuẩn" attribute="1" defaultMemberUniqueName="[Range].[Ngày làm chuẩn].[All]" allUniqueName="[Range].[Ngày làm chuẩn].[All]" dimensionUniqueName="[Range]" displayFolder="" count="0" memberValueDatatype="130" unbalanced="0"/>
    <cacheHierarchy uniqueName="[Range].[HSD tiêu chuẩn (tháng)]" caption="HSD tiêu chuẩn (tháng)" attribute="1" defaultMemberUniqueName="[Range].[HSD tiêu chuẩn (tháng)].[All]" allUniqueName="[Range].[HSD tiêu chuẩn (tháng)].[All]" dimensionUniqueName="[Range]" displayFolder="" count="0" memberValueDatatype="130" unbalanced="0"/>
    <cacheHierarchy uniqueName="[Range].[HSD còn lại (tháng)]" caption="HSD còn lại (tháng)" attribute="1" defaultMemberUniqueName="[Range].[HSD còn lại (tháng)].[All]" allUniqueName="[Range].[HSD còn lại (tháng)].[All]" dimensionUniqueName="[Range]" displayFolder="" count="0" memberValueDatatype="130" unbalanced="0"/>
    <cacheHierarchy uniqueName="[Range].[% hạn sản phẩm còn lại]" caption="% hạn sản phẩm còn lại" attribute="1" defaultMemberUniqueName="[Range].[% hạn sản phẩm còn lại].[All]" allUniqueName="[Range].[% hạn sản phẩm còn lại].[All]" dimensionUniqueName="[Range]" displayFolder="" count="0" memberValueDatatype="130" unbalanced="0"/>
    <cacheHierarchy uniqueName="[Range].[Mã tham chiếu]" caption="Mã tham chiếu" attribute="1" defaultMemberUniqueName="[Range].[Mã tham chiếu].[All]" allUniqueName="[Range].[Mã tham chiếu].[All]" dimensionUniqueName="[Range]" displayFolder="" count="0" memberValueDatatype="130" unbalanced="0"/>
    <cacheHierarchy uniqueName="[Range].[Ghi chú]" caption="Ghi chú" attribute="1" defaultMemberUniqueName="[Range].[Ghi chú].[All]" allUniqueName="[Range].[Ghi chú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L thực nhận]" caption="Sum of SL thực nhậ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Dummy0" caption="Đối tác/Đơn phát sinh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BA1E1-0B61-4223-A065-861F37CD6D5B}" name="PivotTable1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hi tiết">
  <location ref="A11:C21" firstHeaderRow="0" firstDataRow="1" firstDataCol="1"/>
  <pivotFields count="3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">
    <i>
      <x v="1"/>
    </i>
    <i>
      <x v="8"/>
    </i>
    <i>
      <x/>
    </i>
    <i>
      <x v="2"/>
    </i>
    <i>
      <x v="3"/>
    </i>
    <i>
      <x v="5"/>
    </i>
    <i>
      <x v="7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ổng cộng" fld="1" baseField="0" baseItem="0"/>
    <dataField name="Tỷ lệ (%)" fld="2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SL thực nhận]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ổng cộng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375C5-065E-4642-99B1-EC84FAF8C71E}" name="PivotTable10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Nội dung">
  <location ref="A3:C7" firstHeaderRow="0" firstDataRow="1" firstDataCol="1"/>
  <pivotFields count="3"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ổng cộng" fld="1" baseField="0" baseItem="0" numFmtId="165"/>
    <dataField name="Tỷ lệ (%)" fld="2" showDataAs="percentOfCol" baseField="0" baseItem="2" numFmtId="10">
      <extLst>
        <ext xmlns:x14="http://schemas.microsoft.com/office/spreadsheetml/2009/9/main" uri="{E15A36E0-9728-4e99-A89B-3F7291B0FE68}">
          <x14:dataField sourceField="1" uniqueName="[__Xl2].[Measures].[Sum of SL thực nhận]"/>
        </ext>
      </extLst>
    </dataField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1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ổng cộng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kflow.base.vn/job/3581351" TargetMode="External"/><Relationship Id="rId13" Type="http://schemas.openxmlformats.org/officeDocument/2006/relationships/hyperlink" Target="https://workflow.base.vn/job/3429623" TargetMode="External"/><Relationship Id="rId3" Type="http://schemas.openxmlformats.org/officeDocument/2006/relationships/hyperlink" Target="https://workflow.base.vn/job/3474100" TargetMode="External"/><Relationship Id="rId7" Type="http://schemas.openxmlformats.org/officeDocument/2006/relationships/hyperlink" Target="https://workflow.base.vn/job/3581351" TargetMode="External"/><Relationship Id="rId12" Type="http://schemas.openxmlformats.org/officeDocument/2006/relationships/hyperlink" Target="https://workflow.base.vn/job/3429623" TargetMode="External"/><Relationship Id="rId2" Type="http://schemas.openxmlformats.org/officeDocument/2006/relationships/hyperlink" Target="https://workflow.base.vn/job/340443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orkflow.base.vn/job/3522933" TargetMode="External"/><Relationship Id="rId6" Type="http://schemas.openxmlformats.org/officeDocument/2006/relationships/hyperlink" Target="https://workflow.base.vn/job/3581351" TargetMode="External"/><Relationship Id="rId11" Type="http://schemas.openxmlformats.org/officeDocument/2006/relationships/hyperlink" Target="https://workflow.base.vn/job/3581351" TargetMode="External"/><Relationship Id="rId5" Type="http://schemas.openxmlformats.org/officeDocument/2006/relationships/hyperlink" Target="https://workflow.base.vn/job/3556748" TargetMode="External"/><Relationship Id="rId15" Type="http://schemas.openxmlformats.org/officeDocument/2006/relationships/hyperlink" Target="https://workflow.base.vn/job/3429623" TargetMode="External"/><Relationship Id="rId10" Type="http://schemas.openxmlformats.org/officeDocument/2006/relationships/hyperlink" Target="https://workflow.base.vn/job/3581351" TargetMode="External"/><Relationship Id="rId4" Type="http://schemas.openxmlformats.org/officeDocument/2006/relationships/hyperlink" Target="https://workflow.base.vn/job/3474100" TargetMode="External"/><Relationship Id="rId9" Type="http://schemas.openxmlformats.org/officeDocument/2006/relationships/hyperlink" Target="https://workflow.base.vn/job/3581351" TargetMode="External"/><Relationship Id="rId14" Type="http://schemas.openxmlformats.org/officeDocument/2006/relationships/hyperlink" Target="https://workflow.base.vn/job/34296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7"/>
  <sheetViews>
    <sheetView tabSelected="1" topLeftCell="C1" zoomScale="80" zoomScaleNormal="80" workbookViewId="0">
      <pane ySplit="1" topLeftCell="A533" activePane="bottomLeft" state="frozen"/>
      <selection pane="bottomLeft" activeCell="R3" sqref="R3:R557"/>
    </sheetView>
  </sheetViews>
  <sheetFormatPr defaultRowHeight="24.95" customHeight="1"/>
  <cols>
    <col min="1" max="1" width="22.28515625" style="127" customWidth="1"/>
    <col min="2" max="2" width="15.28515625" style="127" customWidth="1"/>
    <col min="3" max="3" width="16.42578125" style="127" customWidth="1"/>
    <col min="4" max="4" width="19" style="127" customWidth="1"/>
    <col min="5" max="5" width="51.7109375" style="139" customWidth="1"/>
    <col min="6" max="6" width="21.85546875" style="139" customWidth="1"/>
    <col min="7" max="7" width="17.7109375" style="127" customWidth="1"/>
    <col min="8" max="8" width="15.85546875" style="127" customWidth="1"/>
    <col min="9" max="9" width="15.28515625" style="127" customWidth="1"/>
    <col min="10" max="10" width="28.140625" style="127" customWidth="1"/>
    <col min="11" max="11" width="15.5703125" style="127" customWidth="1"/>
    <col min="12" max="12" width="15.85546875" style="140" customWidth="1"/>
    <col min="13" max="13" width="16.7109375" style="140" customWidth="1"/>
    <col min="14" max="14" width="16.28515625" style="140" customWidth="1"/>
    <col min="15" max="15" width="20.7109375" style="140" customWidth="1"/>
    <col min="16" max="16" width="15.42578125" style="127" customWidth="1"/>
    <col min="17" max="17" width="37.42578125" style="141" customWidth="1"/>
    <col min="18" max="16384" width="9.140625" style="128"/>
  </cols>
  <sheetData>
    <row r="1" spans="1:18" s="155" customFormat="1" ht="45.75" customHeight="1">
      <c r="A1" s="116" t="s">
        <v>642</v>
      </c>
      <c r="B1" s="116" t="s">
        <v>658</v>
      </c>
      <c r="C1" s="116" t="s">
        <v>80</v>
      </c>
      <c r="D1" s="116" t="s">
        <v>1</v>
      </c>
      <c r="E1" s="117" t="s">
        <v>2</v>
      </c>
      <c r="F1" s="117" t="s">
        <v>536</v>
      </c>
      <c r="G1" s="118" t="s">
        <v>4</v>
      </c>
      <c r="H1" s="118" t="s">
        <v>530</v>
      </c>
      <c r="I1" s="118" t="s">
        <v>531</v>
      </c>
      <c r="J1" s="142" t="s">
        <v>3</v>
      </c>
      <c r="K1" s="143" t="s">
        <v>646</v>
      </c>
      <c r="L1" s="143" t="s">
        <v>32</v>
      </c>
      <c r="M1" s="143" t="s">
        <v>35</v>
      </c>
      <c r="N1" s="143" t="s">
        <v>33</v>
      </c>
      <c r="O1" s="143" t="s">
        <v>31</v>
      </c>
      <c r="P1" s="143" t="s">
        <v>82</v>
      </c>
      <c r="Q1" s="143" t="s">
        <v>83</v>
      </c>
      <c r="R1" s="1" t="s">
        <v>669</v>
      </c>
    </row>
    <row r="2" spans="1:18" ht="24.95" customHeight="1">
      <c r="A2" s="8" t="s">
        <v>78</v>
      </c>
      <c r="B2" s="8" t="s">
        <v>85</v>
      </c>
      <c r="C2" s="8" t="s">
        <v>75</v>
      </c>
      <c r="D2" s="145">
        <v>8809491946260</v>
      </c>
      <c r="E2" s="146" t="s">
        <v>17</v>
      </c>
      <c r="F2" s="134" t="str">
        <f t="shared" ref="F2:F64" si="0">IF(ISNUMBER(SEARCH("gilaa",E2)),"GILAA",
IF(ISNUMBER(SEARCH("GLAMRR Q",E2)),"GLAMRR Q",
IF(ISNUMBER(SEARCH("BAD PEACH",E2)),"BAD PEACH",
IF(ISNUMBER(SEARCH("VEGICK",E2)),"VEGICK",
IF(ISNUMBER(SEARCH("DE MEMORIA",E2)),"DE MEMORIA",
IF(ISNUMBER(SEARCH("MUDE",E2)),"MUDE",
IF(ISNUMBER(SEARCH("daoida",E2)),"DAOIDA",IF(ISNUMBER(SEARCH("MEDIFORCELL",E2)),"MEDIFORCELL",IF(ISNUMBER(SEARCH("PLU",E2)),"PLU","")))))))))</f>
        <v>GLAMRR Q</v>
      </c>
      <c r="G2" s="147">
        <v>1</v>
      </c>
      <c r="H2" s="147"/>
      <c r="I2" s="147">
        <f>G2-H2</f>
        <v>1</v>
      </c>
      <c r="J2" s="147" t="s">
        <v>34</v>
      </c>
      <c r="K2" s="123" t="s">
        <v>27</v>
      </c>
      <c r="L2" s="123" t="s">
        <v>27</v>
      </c>
      <c r="M2" s="123" t="s">
        <v>27</v>
      </c>
      <c r="N2" s="123" t="s">
        <v>27</v>
      </c>
      <c r="O2" s="123" t="s">
        <v>27</v>
      </c>
      <c r="P2" s="148"/>
      <c r="Q2" s="149"/>
      <c r="R2" s="144" t="s">
        <v>670</v>
      </c>
    </row>
    <row r="3" spans="1:18" ht="24.95" customHeight="1">
      <c r="A3" s="8" t="s">
        <v>78</v>
      </c>
      <c r="B3" s="8" t="s">
        <v>85</v>
      </c>
      <c r="C3" s="8" t="s">
        <v>75</v>
      </c>
      <c r="D3" s="145">
        <v>8809783326817</v>
      </c>
      <c r="E3" s="146" t="s">
        <v>22</v>
      </c>
      <c r="F3" s="134" t="str">
        <f t="shared" si="0"/>
        <v>GLAMRR Q</v>
      </c>
      <c r="G3" s="147">
        <v>2</v>
      </c>
      <c r="H3" s="147"/>
      <c r="I3" s="147">
        <f t="shared" ref="I3:I66" si="1">G3-H3</f>
        <v>2</v>
      </c>
      <c r="J3" s="147" t="s">
        <v>28</v>
      </c>
      <c r="K3" s="123">
        <v>45968</v>
      </c>
      <c r="L3" s="123">
        <f t="shared" ref="L3:L66" ca="1" si="2">TODAY()</f>
        <v>46106</v>
      </c>
      <c r="M3" s="145">
        <v>36</v>
      </c>
      <c r="N3" s="150">
        <f t="shared" ref="N3:N66" ca="1" si="3">(K3-L3)/30</f>
        <v>-4.5999999999999996</v>
      </c>
      <c r="O3" s="151">
        <f t="shared" ref="O3:O65" ca="1" si="4">N3/M3</f>
        <v>-0.12777777777777777</v>
      </c>
      <c r="P3" s="148"/>
      <c r="Q3" s="149"/>
      <c r="R3" s="144" t="s">
        <v>670</v>
      </c>
    </row>
    <row r="4" spans="1:18" ht="24.95" customHeight="1">
      <c r="A4" s="8" t="s">
        <v>78</v>
      </c>
      <c r="B4" s="8" t="s">
        <v>85</v>
      </c>
      <c r="C4" s="8" t="s">
        <v>75</v>
      </c>
      <c r="D4" s="145">
        <v>8809491946154</v>
      </c>
      <c r="E4" s="146" t="s">
        <v>6</v>
      </c>
      <c r="F4" s="134" t="str">
        <f t="shared" si="0"/>
        <v>GLAMRR Q</v>
      </c>
      <c r="G4" s="147">
        <v>15</v>
      </c>
      <c r="H4" s="147"/>
      <c r="I4" s="147">
        <f t="shared" si="1"/>
        <v>15</v>
      </c>
      <c r="J4" s="147" t="s">
        <v>28</v>
      </c>
      <c r="K4" s="123">
        <v>46052</v>
      </c>
      <c r="L4" s="123">
        <f t="shared" ca="1" si="2"/>
        <v>46106</v>
      </c>
      <c r="M4" s="145">
        <v>36</v>
      </c>
      <c r="N4" s="150">
        <f t="shared" ca="1" si="3"/>
        <v>-1.8</v>
      </c>
      <c r="O4" s="151">
        <f t="shared" ca="1" si="4"/>
        <v>-0.05</v>
      </c>
      <c r="P4" s="148"/>
      <c r="Q4" s="149"/>
      <c r="R4" s="144" t="s">
        <v>670</v>
      </c>
    </row>
    <row r="5" spans="1:18" ht="24.95" customHeight="1">
      <c r="A5" s="8" t="s">
        <v>78</v>
      </c>
      <c r="B5" s="8" t="s">
        <v>85</v>
      </c>
      <c r="C5" s="8" t="s">
        <v>75</v>
      </c>
      <c r="D5" s="145">
        <v>8809875904862</v>
      </c>
      <c r="E5" s="146" t="s">
        <v>25</v>
      </c>
      <c r="F5" s="134" t="str">
        <f t="shared" si="0"/>
        <v>GLAMRR Q</v>
      </c>
      <c r="G5" s="147">
        <v>1</v>
      </c>
      <c r="H5" s="147"/>
      <c r="I5" s="147">
        <f t="shared" si="1"/>
        <v>1</v>
      </c>
      <c r="J5" s="147" t="s">
        <v>28</v>
      </c>
      <c r="K5" s="123">
        <v>46052</v>
      </c>
      <c r="L5" s="123">
        <f t="shared" ca="1" si="2"/>
        <v>46106</v>
      </c>
      <c r="M5" s="145">
        <v>36</v>
      </c>
      <c r="N5" s="150">
        <f t="shared" ca="1" si="3"/>
        <v>-1.8</v>
      </c>
      <c r="O5" s="151">
        <f t="shared" ca="1" si="4"/>
        <v>-0.05</v>
      </c>
      <c r="P5" s="148"/>
      <c r="Q5" s="149"/>
      <c r="R5" s="144" t="s">
        <v>670</v>
      </c>
    </row>
    <row r="6" spans="1:18" ht="24.95" customHeight="1">
      <c r="A6" s="8" t="s">
        <v>78</v>
      </c>
      <c r="B6" s="8" t="s">
        <v>85</v>
      </c>
      <c r="C6" s="8" t="s">
        <v>75</v>
      </c>
      <c r="D6" s="145">
        <v>8809526841393</v>
      </c>
      <c r="E6" s="146" t="s">
        <v>19</v>
      </c>
      <c r="F6" s="134" t="str">
        <f t="shared" si="0"/>
        <v>GLAMRR Q</v>
      </c>
      <c r="G6" s="147">
        <v>5</v>
      </c>
      <c r="H6" s="147"/>
      <c r="I6" s="147">
        <f t="shared" si="1"/>
        <v>5</v>
      </c>
      <c r="J6" s="147" t="s">
        <v>28</v>
      </c>
      <c r="K6" s="123">
        <v>46055</v>
      </c>
      <c r="L6" s="123">
        <f t="shared" ca="1" si="2"/>
        <v>46106</v>
      </c>
      <c r="M6" s="145">
        <v>36</v>
      </c>
      <c r="N6" s="150">
        <f t="shared" ca="1" si="3"/>
        <v>-1.7</v>
      </c>
      <c r="O6" s="151">
        <f t="shared" ca="1" si="4"/>
        <v>-4.7222222222222221E-2</v>
      </c>
      <c r="P6" s="148"/>
      <c r="Q6" s="149"/>
      <c r="R6" s="144" t="s">
        <v>670</v>
      </c>
    </row>
    <row r="7" spans="1:18" ht="24.95" customHeight="1">
      <c r="A7" s="8" t="s">
        <v>78</v>
      </c>
      <c r="B7" s="8" t="s">
        <v>85</v>
      </c>
      <c r="C7" s="8" t="s">
        <v>75</v>
      </c>
      <c r="D7" s="145">
        <v>8809526841393</v>
      </c>
      <c r="E7" s="146" t="s">
        <v>19</v>
      </c>
      <c r="F7" s="134" t="str">
        <f t="shared" si="0"/>
        <v>GLAMRR Q</v>
      </c>
      <c r="G7" s="147">
        <v>1</v>
      </c>
      <c r="H7" s="147"/>
      <c r="I7" s="147">
        <f t="shared" si="1"/>
        <v>1</v>
      </c>
      <c r="J7" s="147" t="s">
        <v>29</v>
      </c>
      <c r="K7" s="123">
        <v>46055</v>
      </c>
      <c r="L7" s="123">
        <f t="shared" ca="1" si="2"/>
        <v>46106</v>
      </c>
      <c r="M7" s="145">
        <v>36</v>
      </c>
      <c r="N7" s="150">
        <f t="shared" ca="1" si="3"/>
        <v>-1.7</v>
      </c>
      <c r="O7" s="151">
        <f t="shared" ca="1" si="4"/>
        <v>-4.7222222222222221E-2</v>
      </c>
      <c r="P7" s="148"/>
      <c r="Q7" s="149"/>
      <c r="R7" s="144" t="s">
        <v>670</v>
      </c>
    </row>
    <row r="8" spans="1:18" ht="24.95" customHeight="1">
      <c r="A8" s="8" t="s">
        <v>78</v>
      </c>
      <c r="B8" s="8" t="s">
        <v>85</v>
      </c>
      <c r="C8" s="8" t="s">
        <v>75</v>
      </c>
      <c r="D8" s="145">
        <v>8809526841409</v>
      </c>
      <c r="E8" s="146" t="s">
        <v>20</v>
      </c>
      <c r="F8" s="134" t="str">
        <f t="shared" si="0"/>
        <v>GLAMRR Q</v>
      </c>
      <c r="G8" s="147">
        <v>1</v>
      </c>
      <c r="H8" s="147"/>
      <c r="I8" s="147">
        <f t="shared" si="1"/>
        <v>1</v>
      </c>
      <c r="J8" s="147" t="s">
        <v>28</v>
      </c>
      <c r="K8" s="123">
        <v>46056</v>
      </c>
      <c r="L8" s="123">
        <f t="shared" ca="1" si="2"/>
        <v>46106</v>
      </c>
      <c r="M8" s="145">
        <v>36</v>
      </c>
      <c r="N8" s="150">
        <f t="shared" ca="1" si="3"/>
        <v>-1.6666666666666667</v>
      </c>
      <c r="O8" s="151">
        <f t="shared" ca="1" si="4"/>
        <v>-4.6296296296296301E-2</v>
      </c>
      <c r="P8" s="148"/>
      <c r="Q8" s="149"/>
      <c r="R8" s="144" t="s">
        <v>670</v>
      </c>
    </row>
    <row r="9" spans="1:18" ht="24.95" customHeight="1">
      <c r="A9" s="8" t="s">
        <v>78</v>
      </c>
      <c r="B9" s="8" t="s">
        <v>85</v>
      </c>
      <c r="C9" s="8" t="s">
        <v>75</v>
      </c>
      <c r="D9" s="145">
        <v>8809526841409</v>
      </c>
      <c r="E9" s="146" t="s">
        <v>20</v>
      </c>
      <c r="F9" s="134" t="str">
        <f t="shared" si="0"/>
        <v>GLAMRR Q</v>
      </c>
      <c r="G9" s="147">
        <v>1</v>
      </c>
      <c r="H9" s="147"/>
      <c r="I9" s="147">
        <f t="shared" si="1"/>
        <v>1</v>
      </c>
      <c r="J9" s="147" t="s">
        <v>30</v>
      </c>
      <c r="K9" s="123">
        <v>46056</v>
      </c>
      <c r="L9" s="123">
        <f t="shared" ca="1" si="2"/>
        <v>46106</v>
      </c>
      <c r="M9" s="145">
        <v>36</v>
      </c>
      <c r="N9" s="150">
        <f t="shared" ca="1" si="3"/>
        <v>-1.6666666666666667</v>
      </c>
      <c r="O9" s="151">
        <f t="shared" ca="1" si="4"/>
        <v>-4.6296296296296301E-2</v>
      </c>
      <c r="P9" s="148"/>
      <c r="Q9" s="149"/>
      <c r="R9" s="144" t="s">
        <v>670</v>
      </c>
    </row>
    <row r="10" spans="1:18" ht="24.95" customHeight="1">
      <c r="A10" s="8" t="s">
        <v>78</v>
      </c>
      <c r="B10" s="8" t="s">
        <v>85</v>
      </c>
      <c r="C10" s="8" t="s">
        <v>75</v>
      </c>
      <c r="D10" s="145">
        <v>8809526841409</v>
      </c>
      <c r="E10" s="146" t="s">
        <v>20</v>
      </c>
      <c r="F10" s="134" t="str">
        <f t="shared" si="0"/>
        <v>GLAMRR Q</v>
      </c>
      <c r="G10" s="147">
        <v>2</v>
      </c>
      <c r="H10" s="147"/>
      <c r="I10" s="147">
        <f t="shared" si="1"/>
        <v>2</v>
      </c>
      <c r="J10" s="147" t="s">
        <v>29</v>
      </c>
      <c r="K10" s="123">
        <v>46056</v>
      </c>
      <c r="L10" s="123">
        <f t="shared" ca="1" si="2"/>
        <v>46106</v>
      </c>
      <c r="M10" s="145">
        <v>36</v>
      </c>
      <c r="N10" s="150">
        <f t="shared" ca="1" si="3"/>
        <v>-1.6666666666666667</v>
      </c>
      <c r="O10" s="151">
        <f t="shared" ca="1" si="4"/>
        <v>-4.6296296296296301E-2</v>
      </c>
      <c r="P10" s="148"/>
      <c r="Q10" s="149"/>
      <c r="R10" s="144" t="s">
        <v>670</v>
      </c>
    </row>
    <row r="11" spans="1:18" ht="24.95" customHeight="1">
      <c r="A11" s="8" t="s">
        <v>78</v>
      </c>
      <c r="B11" s="8" t="s">
        <v>85</v>
      </c>
      <c r="C11" s="8" t="s">
        <v>75</v>
      </c>
      <c r="D11" s="145">
        <v>8809526841409</v>
      </c>
      <c r="E11" s="146" t="s">
        <v>20</v>
      </c>
      <c r="F11" s="134" t="str">
        <f t="shared" si="0"/>
        <v>GLAMRR Q</v>
      </c>
      <c r="G11" s="147">
        <v>14</v>
      </c>
      <c r="H11" s="147"/>
      <c r="I11" s="147">
        <f t="shared" si="1"/>
        <v>14</v>
      </c>
      <c r="J11" s="147" t="s">
        <v>28</v>
      </c>
      <c r="K11" s="123">
        <v>46056</v>
      </c>
      <c r="L11" s="123">
        <f t="shared" ca="1" si="2"/>
        <v>46106</v>
      </c>
      <c r="M11" s="145">
        <v>36</v>
      </c>
      <c r="N11" s="150">
        <f t="shared" ca="1" si="3"/>
        <v>-1.6666666666666667</v>
      </c>
      <c r="O11" s="151">
        <f t="shared" ca="1" si="4"/>
        <v>-4.6296296296296301E-2</v>
      </c>
      <c r="P11" s="148"/>
      <c r="Q11" s="149"/>
      <c r="R11" s="144" t="s">
        <v>670</v>
      </c>
    </row>
    <row r="12" spans="1:18" ht="24.95" customHeight="1">
      <c r="A12" s="8" t="s">
        <v>78</v>
      </c>
      <c r="B12" s="8" t="s">
        <v>85</v>
      </c>
      <c r="C12" s="8" t="s">
        <v>75</v>
      </c>
      <c r="D12" s="145">
        <v>8809563069910</v>
      </c>
      <c r="E12" s="146" t="s">
        <v>21</v>
      </c>
      <c r="F12" s="134" t="str">
        <f t="shared" si="0"/>
        <v>GLAMRR Q</v>
      </c>
      <c r="G12" s="147">
        <v>1</v>
      </c>
      <c r="H12" s="147"/>
      <c r="I12" s="147">
        <f t="shared" si="1"/>
        <v>1</v>
      </c>
      <c r="J12" s="147" t="s">
        <v>28</v>
      </c>
      <c r="K12" s="123">
        <v>46056</v>
      </c>
      <c r="L12" s="123">
        <f t="shared" ca="1" si="2"/>
        <v>46106</v>
      </c>
      <c r="M12" s="145">
        <v>36</v>
      </c>
      <c r="N12" s="150">
        <f t="shared" ca="1" si="3"/>
        <v>-1.6666666666666667</v>
      </c>
      <c r="O12" s="151">
        <f t="shared" ca="1" si="4"/>
        <v>-4.6296296296296301E-2</v>
      </c>
      <c r="P12" s="148"/>
      <c r="Q12" s="149"/>
      <c r="R12" s="144" t="s">
        <v>670</v>
      </c>
    </row>
    <row r="13" spans="1:18" ht="24.95" customHeight="1">
      <c r="A13" s="8" t="s">
        <v>78</v>
      </c>
      <c r="B13" s="8" t="s">
        <v>85</v>
      </c>
      <c r="C13" s="8" t="s">
        <v>75</v>
      </c>
      <c r="D13" s="145">
        <v>8809491946161</v>
      </c>
      <c r="E13" s="146" t="s">
        <v>7</v>
      </c>
      <c r="F13" s="134" t="str">
        <f t="shared" si="0"/>
        <v>GLAMRR Q</v>
      </c>
      <c r="G13" s="147">
        <v>1</v>
      </c>
      <c r="H13" s="147"/>
      <c r="I13" s="147">
        <f t="shared" si="1"/>
        <v>1</v>
      </c>
      <c r="J13" s="147" t="s">
        <v>30</v>
      </c>
      <c r="K13" s="123">
        <v>46061</v>
      </c>
      <c r="L13" s="123">
        <f t="shared" ca="1" si="2"/>
        <v>46106</v>
      </c>
      <c r="M13" s="145">
        <v>36</v>
      </c>
      <c r="N13" s="150">
        <f t="shared" ca="1" si="3"/>
        <v>-1.5</v>
      </c>
      <c r="O13" s="151">
        <f t="shared" ca="1" si="4"/>
        <v>-4.1666666666666664E-2</v>
      </c>
      <c r="P13" s="148"/>
      <c r="Q13" s="149"/>
      <c r="R13" s="144" t="s">
        <v>670</v>
      </c>
    </row>
    <row r="14" spans="1:18" ht="24.95" customHeight="1">
      <c r="A14" s="8" t="s">
        <v>78</v>
      </c>
      <c r="B14" s="8" t="s">
        <v>85</v>
      </c>
      <c r="C14" s="8" t="s">
        <v>75</v>
      </c>
      <c r="D14" s="145">
        <v>8809491946161</v>
      </c>
      <c r="E14" s="146" t="s">
        <v>7</v>
      </c>
      <c r="F14" s="134" t="str">
        <f t="shared" si="0"/>
        <v>GLAMRR Q</v>
      </c>
      <c r="G14" s="147">
        <v>45</v>
      </c>
      <c r="H14" s="147"/>
      <c r="I14" s="147">
        <f t="shared" si="1"/>
        <v>45</v>
      </c>
      <c r="J14" s="147" t="s">
        <v>28</v>
      </c>
      <c r="K14" s="123">
        <v>46061</v>
      </c>
      <c r="L14" s="123">
        <f t="shared" ca="1" si="2"/>
        <v>46106</v>
      </c>
      <c r="M14" s="145">
        <v>36</v>
      </c>
      <c r="N14" s="150">
        <f t="shared" ca="1" si="3"/>
        <v>-1.5</v>
      </c>
      <c r="O14" s="151">
        <f t="shared" ca="1" si="4"/>
        <v>-4.1666666666666664E-2</v>
      </c>
      <c r="P14" s="148"/>
      <c r="Q14" s="149"/>
      <c r="R14" s="144" t="s">
        <v>670</v>
      </c>
    </row>
    <row r="15" spans="1:18" ht="24.95" customHeight="1">
      <c r="A15" s="8" t="s">
        <v>78</v>
      </c>
      <c r="B15" s="8" t="s">
        <v>85</v>
      </c>
      <c r="C15" s="8" t="s">
        <v>75</v>
      </c>
      <c r="D15" s="145">
        <v>8809491946178</v>
      </c>
      <c r="E15" s="146" t="s">
        <v>8</v>
      </c>
      <c r="F15" s="134" t="str">
        <f t="shared" si="0"/>
        <v>GLAMRR Q</v>
      </c>
      <c r="G15" s="147">
        <v>2</v>
      </c>
      <c r="H15" s="147"/>
      <c r="I15" s="147">
        <f t="shared" si="1"/>
        <v>2</v>
      </c>
      <c r="J15" s="147" t="s">
        <v>30</v>
      </c>
      <c r="K15" s="123">
        <v>46061</v>
      </c>
      <c r="L15" s="123">
        <f t="shared" ca="1" si="2"/>
        <v>46106</v>
      </c>
      <c r="M15" s="145">
        <v>36</v>
      </c>
      <c r="N15" s="150">
        <f t="shared" ca="1" si="3"/>
        <v>-1.5</v>
      </c>
      <c r="O15" s="151">
        <f t="shared" ca="1" si="4"/>
        <v>-4.1666666666666664E-2</v>
      </c>
      <c r="P15" s="148"/>
      <c r="Q15" s="149"/>
      <c r="R15" s="144" t="s">
        <v>670</v>
      </c>
    </row>
    <row r="16" spans="1:18" ht="24.95" customHeight="1">
      <c r="A16" s="8" t="s">
        <v>78</v>
      </c>
      <c r="B16" s="8" t="s">
        <v>85</v>
      </c>
      <c r="C16" s="8" t="s">
        <v>75</v>
      </c>
      <c r="D16" s="145">
        <v>8809491946178</v>
      </c>
      <c r="E16" s="146" t="s">
        <v>8</v>
      </c>
      <c r="F16" s="134" t="str">
        <f t="shared" si="0"/>
        <v>GLAMRR Q</v>
      </c>
      <c r="G16" s="147">
        <v>21</v>
      </c>
      <c r="H16" s="147"/>
      <c r="I16" s="147">
        <f t="shared" si="1"/>
        <v>21</v>
      </c>
      <c r="J16" s="147" t="s">
        <v>28</v>
      </c>
      <c r="K16" s="123">
        <v>46061</v>
      </c>
      <c r="L16" s="123">
        <f t="shared" ca="1" si="2"/>
        <v>46106</v>
      </c>
      <c r="M16" s="145">
        <v>36</v>
      </c>
      <c r="N16" s="150">
        <f t="shared" ca="1" si="3"/>
        <v>-1.5</v>
      </c>
      <c r="O16" s="151">
        <f t="shared" ca="1" si="4"/>
        <v>-4.1666666666666664E-2</v>
      </c>
      <c r="P16" s="148"/>
      <c r="Q16" s="149"/>
      <c r="R16" s="144" t="s">
        <v>670</v>
      </c>
    </row>
    <row r="17" spans="1:18" ht="24.95" customHeight="1">
      <c r="A17" s="8" t="s">
        <v>78</v>
      </c>
      <c r="B17" s="8" t="s">
        <v>85</v>
      </c>
      <c r="C17" s="8" t="s">
        <v>75</v>
      </c>
      <c r="D17" s="145">
        <v>8809491946185</v>
      </c>
      <c r="E17" s="146" t="s">
        <v>9</v>
      </c>
      <c r="F17" s="134" t="str">
        <f t="shared" si="0"/>
        <v>GLAMRR Q</v>
      </c>
      <c r="G17" s="147">
        <v>9</v>
      </c>
      <c r="H17" s="147"/>
      <c r="I17" s="147">
        <f t="shared" si="1"/>
        <v>9</v>
      </c>
      <c r="J17" s="147" t="s">
        <v>28</v>
      </c>
      <c r="K17" s="123">
        <v>46061</v>
      </c>
      <c r="L17" s="123">
        <f t="shared" ca="1" si="2"/>
        <v>46106</v>
      </c>
      <c r="M17" s="145">
        <v>36</v>
      </c>
      <c r="N17" s="150">
        <f t="shared" ca="1" si="3"/>
        <v>-1.5</v>
      </c>
      <c r="O17" s="151">
        <f t="shared" ca="1" si="4"/>
        <v>-4.1666666666666664E-2</v>
      </c>
      <c r="P17" s="148"/>
      <c r="Q17" s="149"/>
      <c r="R17" s="144" t="s">
        <v>670</v>
      </c>
    </row>
    <row r="18" spans="1:18" ht="24.95" customHeight="1">
      <c r="A18" s="8" t="s">
        <v>78</v>
      </c>
      <c r="B18" s="8" t="s">
        <v>85</v>
      </c>
      <c r="C18" s="8" t="s">
        <v>75</v>
      </c>
      <c r="D18" s="145">
        <v>8809491946185</v>
      </c>
      <c r="E18" s="146" t="s">
        <v>9</v>
      </c>
      <c r="F18" s="134" t="str">
        <f t="shared" si="0"/>
        <v>GLAMRR Q</v>
      </c>
      <c r="G18" s="147">
        <v>2</v>
      </c>
      <c r="H18" s="147"/>
      <c r="I18" s="147">
        <f t="shared" si="1"/>
        <v>2</v>
      </c>
      <c r="J18" s="147" t="s">
        <v>30</v>
      </c>
      <c r="K18" s="123">
        <v>46061</v>
      </c>
      <c r="L18" s="123">
        <f t="shared" ca="1" si="2"/>
        <v>46106</v>
      </c>
      <c r="M18" s="145">
        <v>36</v>
      </c>
      <c r="N18" s="150">
        <f t="shared" ca="1" si="3"/>
        <v>-1.5</v>
      </c>
      <c r="O18" s="151">
        <f t="shared" ca="1" si="4"/>
        <v>-4.1666666666666664E-2</v>
      </c>
      <c r="P18" s="148"/>
      <c r="Q18" s="149"/>
      <c r="R18" s="144" t="s">
        <v>670</v>
      </c>
    </row>
    <row r="19" spans="1:18" ht="24.95" customHeight="1">
      <c r="A19" s="8" t="s">
        <v>78</v>
      </c>
      <c r="B19" s="8" t="s">
        <v>85</v>
      </c>
      <c r="C19" s="8" t="s">
        <v>75</v>
      </c>
      <c r="D19" s="145">
        <v>8809491946185</v>
      </c>
      <c r="E19" s="146" t="s">
        <v>9</v>
      </c>
      <c r="F19" s="134" t="str">
        <f t="shared" si="0"/>
        <v>GLAMRR Q</v>
      </c>
      <c r="G19" s="147">
        <v>12</v>
      </c>
      <c r="H19" s="147"/>
      <c r="I19" s="147">
        <f t="shared" si="1"/>
        <v>12</v>
      </c>
      <c r="J19" s="147" t="s">
        <v>28</v>
      </c>
      <c r="K19" s="123">
        <v>46061</v>
      </c>
      <c r="L19" s="123">
        <f t="shared" ca="1" si="2"/>
        <v>46106</v>
      </c>
      <c r="M19" s="145">
        <v>36</v>
      </c>
      <c r="N19" s="150">
        <f t="shared" ca="1" si="3"/>
        <v>-1.5</v>
      </c>
      <c r="O19" s="151">
        <f t="shared" ca="1" si="4"/>
        <v>-4.1666666666666664E-2</v>
      </c>
      <c r="P19" s="148"/>
      <c r="Q19" s="149"/>
      <c r="R19" s="144" t="s">
        <v>670</v>
      </c>
    </row>
    <row r="20" spans="1:18" ht="24.95" customHeight="1">
      <c r="A20" s="8" t="s">
        <v>78</v>
      </c>
      <c r="B20" s="8" t="s">
        <v>85</v>
      </c>
      <c r="C20" s="8" t="s">
        <v>75</v>
      </c>
      <c r="D20" s="145">
        <v>8809491946192</v>
      </c>
      <c r="E20" s="146" t="s">
        <v>10</v>
      </c>
      <c r="F20" s="134" t="str">
        <f t="shared" si="0"/>
        <v>GLAMRR Q</v>
      </c>
      <c r="G20" s="147">
        <v>11</v>
      </c>
      <c r="H20" s="147"/>
      <c r="I20" s="147">
        <f t="shared" si="1"/>
        <v>11</v>
      </c>
      <c r="J20" s="147" t="s">
        <v>30</v>
      </c>
      <c r="K20" s="123">
        <v>46061</v>
      </c>
      <c r="L20" s="123">
        <f t="shared" ca="1" si="2"/>
        <v>46106</v>
      </c>
      <c r="M20" s="145">
        <v>36</v>
      </c>
      <c r="N20" s="150">
        <f t="shared" ca="1" si="3"/>
        <v>-1.5</v>
      </c>
      <c r="O20" s="151">
        <f t="shared" ca="1" si="4"/>
        <v>-4.1666666666666664E-2</v>
      </c>
      <c r="P20" s="148"/>
      <c r="Q20" s="149"/>
      <c r="R20" s="144" t="s">
        <v>670</v>
      </c>
    </row>
    <row r="21" spans="1:18" ht="24.95" customHeight="1">
      <c r="A21" s="8" t="s">
        <v>78</v>
      </c>
      <c r="B21" s="8" t="s">
        <v>85</v>
      </c>
      <c r="C21" s="8" t="s">
        <v>75</v>
      </c>
      <c r="D21" s="145">
        <v>8809491946192</v>
      </c>
      <c r="E21" s="146" t="s">
        <v>10</v>
      </c>
      <c r="F21" s="134" t="str">
        <f t="shared" si="0"/>
        <v>GLAMRR Q</v>
      </c>
      <c r="G21" s="147">
        <v>2</v>
      </c>
      <c r="H21" s="147"/>
      <c r="I21" s="147">
        <f t="shared" si="1"/>
        <v>2</v>
      </c>
      <c r="J21" s="147" t="s">
        <v>28</v>
      </c>
      <c r="K21" s="123">
        <v>46061</v>
      </c>
      <c r="L21" s="123">
        <f t="shared" ca="1" si="2"/>
        <v>46106</v>
      </c>
      <c r="M21" s="145">
        <v>36</v>
      </c>
      <c r="N21" s="150">
        <f t="shared" ca="1" si="3"/>
        <v>-1.5</v>
      </c>
      <c r="O21" s="151">
        <f t="shared" ca="1" si="4"/>
        <v>-4.1666666666666664E-2</v>
      </c>
      <c r="P21" s="148"/>
      <c r="Q21" s="149"/>
      <c r="R21" s="144" t="s">
        <v>670</v>
      </c>
    </row>
    <row r="22" spans="1:18" ht="24.95" customHeight="1">
      <c r="A22" s="8" t="s">
        <v>78</v>
      </c>
      <c r="B22" s="8" t="s">
        <v>85</v>
      </c>
      <c r="C22" s="8" t="s">
        <v>75</v>
      </c>
      <c r="D22" s="145">
        <v>8809491946208</v>
      </c>
      <c r="E22" s="146" t="s">
        <v>11</v>
      </c>
      <c r="F22" s="134" t="str">
        <f t="shared" si="0"/>
        <v>GLAMRR Q</v>
      </c>
      <c r="G22" s="147">
        <v>26</v>
      </c>
      <c r="H22" s="147"/>
      <c r="I22" s="147">
        <f t="shared" si="1"/>
        <v>26</v>
      </c>
      <c r="J22" s="147" t="s">
        <v>28</v>
      </c>
      <c r="K22" s="123">
        <v>46061</v>
      </c>
      <c r="L22" s="123">
        <f t="shared" ca="1" si="2"/>
        <v>46106</v>
      </c>
      <c r="M22" s="145">
        <v>36</v>
      </c>
      <c r="N22" s="150">
        <f t="shared" ca="1" si="3"/>
        <v>-1.5</v>
      </c>
      <c r="O22" s="151">
        <f t="shared" ca="1" si="4"/>
        <v>-4.1666666666666664E-2</v>
      </c>
      <c r="P22" s="148"/>
      <c r="Q22" s="149"/>
      <c r="R22" s="144" t="s">
        <v>670</v>
      </c>
    </row>
    <row r="23" spans="1:18" ht="24.95" customHeight="1">
      <c r="A23" s="8" t="s">
        <v>78</v>
      </c>
      <c r="B23" s="8" t="s">
        <v>85</v>
      </c>
      <c r="C23" s="8" t="s">
        <v>75</v>
      </c>
      <c r="D23" s="145">
        <v>8809491946154</v>
      </c>
      <c r="E23" s="146" t="s">
        <v>6</v>
      </c>
      <c r="F23" s="134" t="str">
        <f t="shared" si="0"/>
        <v>GLAMRR Q</v>
      </c>
      <c r="G23" s="147">
        <v>1</v>
      </c>
      <c r="H23" s="147"/>
      <c r="I23" s="147">
        <f t="shared" si="1"/>
        <v>1</v>
      </c>
      <c r="J23" s="147" t="s">
        <v>28</v>
      </c>
      <c r="K23" s="123">
        <v>46062</v>
      </c>
      <c r="L23" s="123">
        <f t="shared" ca="1" si="2"/>
        <v>46106</v>
      </c>
      <c r="M23" s="145">
        <v>36</v>
      </c>
      <c r="N23" s="150">
        <f t="shared" ca="1" si="3"/>
        <v>-1.4666666666666666</v>
      </c>
      <c r="O23" s="151">
        <f t="shared" ca="1" si="4"/>
        <v>-4.0740740740740737E-2</v>
      </c>
      <c r="P23" s="148"/>
      <c r="Q23" s="149"/>
      <c r="R23" s="144" t="s">
        <v>670</v>
      </c>
    </row>
    <row r="24" spans="1:18" ht="24.95" customHeight="1">
      <c r="A24" s="8" t="s">
        <v>78</v>
      </c>
      <c r="B24" s="8" t="s">
        <v>85</v>
      </c>
      <c r="C24" s="8" t="s">
        <v>75</v>
      </c>
      <c r="D24" s="145">
        <v>8809491946215</v>
      </c>
      <c r="E24" s="146" t="s">
        <v>12</v>
      </c>
      <c r="F24" s="134" t="str">
        <f t="shared" si="0"/>
        <v>GLAMRR Q</v>
      </c>
      <c r="G24" s="147">
        <v>2</v>
      </c>
      <c r="H24" s="147"/>
      <c r="I24" s="147">
        <f t="shared" si="1"/>
        <v>2</v>
      </c>
      <c r="J24" s="147" t="s">
        <v>30</v>
      </c>
      <c r="K24" s="123">
        <v>46062</v>
      </c>
      <c r="L24" s="123">
        <f t="shared" ca="1" si="2"/>
        <v>46106</v>
      </c>
      <c r="M24" s="145">
        <v>36</v>
      </c>
      <c r="N24" s="150">
        <f t="shared" ca="1" si="3"/>
        <v>-1.4666666666666666</v>
      </c>
      <c r="O24" s="151">
        <f t="shared" ca="1" si="4"/>
        <v>-4.0740740740740737E-2</v>
      </c>
      <c r="P24" s="148"/>
      <c r="Q24" s="149"/>
      <c r="R24" s="144" t="s">
        <v>670</v>
      </c>
    </row>
    <row r="25" spans="1:18" ht="24.95" customHeight="1">
      <c r="A25" s="8" t="s">
        <v>78</v>
      </c>
      <c r="B25" s="8" t="s">
        <v>85</v>
      </c>
      <c r="C25" s="8" t="s">
        <v>75</v>
      </c>
      <c r="D25" s="145">
        <v>8809491946215</v>
      </c>
      <c r="E25" s="146" t="s">
        <v>12</v>
      </c>
      <c r="F25" s="134" t="str">
        <f t="shared" si="0"/>
        <v>GLAMRR Q</v>
      </c>
      <c r="G25" s="147">
        <v>17</v>
      </c>
      <c r="H25" s="147"/>
      <c r="I25" s="147">
        <f t="shared" si="1"/>
        <v>17</v>
      </c>
      <c r="J25" s="147" t="s">
        <v>28</v>
      </c>
      <c r="K25" s="123">
        <v>46062</v>
      </c>
      <c r="L25" s="123">
        <f t="shared" ca="1" si="2"/>
        <v>46106</v>
      </c>
      <c r="M25" s="145">
        <v>36</v>
      </c>
      <c r="N25" s="150">
        <f t="shared" ca="1" si="3"/>
        <v>-1.4666666666666666</v>
      </c>
      <c r="O25" s="151">
        <f t="shared" ca="1" si="4"/>
        <v>-4.0740740740740737E-2</v>
      </c>
      <c r="P25" s="148"/>
      <c r="Q25" s="149"/>
      <c r="R25" s="144" t="s">
        <v>670</v>
      </c>
    </row>
    <row r="26" spans="1:18" ht="24.95" customHeight="1">
      <c r="A26" s="8" t="s">
        <v>78</v>
      </c>
      <c r="B26" s="8" t="s">
        <v>85</v>
      </c>
      <c r="C26" s="8" t="s">
        <v>75</v>
      </c>
      <c r="D26" s="145">
        <v>8809491946222</v>
      </c>
      <c r="E26" s="146" t="s">
        <v>13</v>
      </c>
      <c r="F26" s="134" t="str">
        <f t="shared" si="0"/>
        <v>GLAMRR Q</v>
      </c>
      <c r="G26" s="147">
        <v>20</v>
      </c>
      <c r="H26" s="147"/>
      <c r="I26" s="147">
        <f t="shared" si="1"/>
        <v>20</v>
      </c>
      <c r="J26" s="147" t="s">
        <v>28</v>
      </c>
      <c r="K26" s="123">
        <v>46062</v>
      </c>
      <c r="L26" s="123">
        <f t="shared" ca="1" si="2"/>
        <v>46106</v>
      </c>
      <c r="M26" s="145">
        <v>36</v>
      </c>
      <c r="N26" s="150">
        <f t="shared" ca="1" si="3"/>
        <v>-1.4666666666666666</v>
      </c>
      <c r="O26" s="151">
        <f t="shared" ca="1" si="4"/>
        <v>-4.0740740740740737E-2</v>
      </c>
      <c r="P26" s="148"/>
      <c r="Q26" s="149"/>
      <c r="R26" s="144" t="s">
        <v>670</v>
      </c>
    </row>
    <row r="27" spans="1:18" ht="24.95" customHeight="1">
      <c r="A27" s="8" t="s">
        <v>78</v>
      </c>
      <c r="B27" s="8" t="s">
        <v>85</v>
      </c>
      <c r="C27" s="8" t="s">
        <v>75</v>
      </c>
      <c r="D27" s="145">
        <v>8809491946239</v>
      </c>
      <c r="E27" s="146" t="s">
        <v>14</v>
      </c>
      <c r="F27" s="134" t="str">
        <f t="shared" si="0"/>
        <v>GLAMRR Q</v>
      </c>
      <c r="G27" s="147">
        <v>1</v>
      </c>
      <c r="H27" s="147"/>
      <c r="I27" s="147">
        <f t="shared" si="1"/>
        <v>1</v>
      </c>
      <c r="J27" s="147" t="s">
        <v>30</v>
      </c>
      <c r="K27" s="123">
        <v>46062</v>
      </c>
      <c r="L27" s="123">
        <f t="shared" ca="1" si="2"/>
        <v>46106</v>
      </c>
      <c r="M27" s="145">
        <v>36</v>
      </c>
      <c r="N27" s="150">
        <f t="shared" ca="1" si="3"/>
        <v>-1.4666666666666666</v>
      </c>
      <c r="O27" s="151">
        <f t="shared" ca="1" si="4"/>
        <v>-4.0740740740740737E-2</v>
      </c>
      <c r="P27" s="148"/>
      <c r="Q27" s="149"/>
      <c r="R27" s="144" t="s">
        <v>670</v>
      </c>
    </row>
    <row r="28" spans="1:18" ht="24.95" customHeight="1">
      <c r="A28" s="8" t="s">
        <v>78</v>
      </c>
      <c r="B28" s="8" t="s">
        <v>85</v>
      </c>
      <c r="C28" s="8" t="s">
        <v>75</v>
      </c>
      <c r="D28" s="145">
        <v>8809491946239</v>
      </c>
      <c r="E28" s="146" t="s">
        <v>14</v>
      </c>
      <c r="F28" s="134" t="str">
        <f t="shared" si="0"/>
        <v>GLAMRR Q</v>
      </c>
      <c r="G28" s="147">
        <v>16</v>
      </c>
      <c r="H28" s="147"/>
      <c r="I28" s="147">
        <f t="shared" si="1"/>
        <v>16</v>
      </c>
      <c r="J28" s="147" t="s">
        <v>28</v>
      </c>
      <c r="K28" s="123">
        <v>46062</v>
      </c>
      <c r="L28" s="123">
        <f t="shared" ca="1" si="2"/>
        <v>46106</v>
      </c>
      <c r="M28" s="145">
        <v>36</v>
      </c>
      <c r="N28" s="150">
        <f t="shared" ca="1" si="3"/>
        <v>-1.4666666666666666</v>
      </c>
      <c r="O28" s="151">
        <f t="shared" ca="1" si="4"/>
        <v>-4.0740740740740737E-2</v>
      </c>
      <c r="P28" s="148"/>
      <c r="Q28" s="149"/>
      <c r="R28" s="144" t="s">
        <v>670</v>
      </c>
    </row>
    <row r="29" spans="1:18" ht="24.95" customHeight="1">
      <c r="A29" s="8" t="s">
        <v>78</v>
      </c>
      <c r="B29" s="8" t="s">
        <v>85</v>
      </c>
      <c r="C29" s="8" t="s">
        <v>75</v>
      </c>
      <c r="D29" s="145">
        <v>8809491946246</v>
      </c>
      <c r="E29" s="146" t="s">
        <v>15</v>
      </c>
      <c r="F29" s="134" t="str">
        <f t="shared" si="0"/>
        <v>GLAMRR Q</v>
      </c>
      <c r="G29" s="147">
        <v>28</v>
      </c>
      <c r="H29" s="147"/>
      <c r="I29" s="147">
        <f t="shared" si="1"/>
        <v>28</v>
      </c>
      <c r="J29" s="147" t="s">
        <v>28</v>
      </c>
      <c r="K29" s="123">
        <v>46062</v>
      </c>
      <c r="L29" s="123">
        <f t="shared" ca="1" si="2"/>
        <v>46106</v>
      </c>
      <c r="M29" s="145">
        <v>36</v>
      </c>
      <c r="N29" s="150">
        <f t="shared" ca="1" si="3"/>
        <v>-1.4666666666666666</v>
      </c>
      <c r="O29" s="151">
        <f t="shared" ca="1" si="4"/>
        <v>-4.0740740740740737E-2</v>
      </c>
      <c r="P29" s="148"/>
      <c r="Q29" s="149"/>
      <c r="R29" s="144" t="s">
        <v>670</v>
      </c>
    </row>
    <row r="30" spans="1:18" ht="24.95" customHeight="1">
      <c r="A30" s="8" t="s">
        <v>78</v>
      </c>
      <c r="B30" s="8" t="s">
        <v>85</v>
      </c>
      <c r="C30" s="8" t="s">
        <v>75</v>
      </c>
      <c r="D30" s="145">
        <v>8809491946246</v>
      </c>
      <c r="E30" s="146" t="s">
        <v>15</v>
      </c>
      <c r="F30" s="134" t="str">
        <f t="shared" si="0"/>
        <v>GLAMRR Q</v>
      </c>
      <c r="G30" s="147">
        <v>16</v>
      </c>
      <c r="H30" s="147"/>
      <c r="I30" s="147">
        <f t="shared" si="1"/>
        <v>16</v>
      </c>
      <c r="J30" s="147" t="s">
        <v>30</v>
      </c>
      <c r="K30" s="123">
        <v>46062</v>
      </c>
      <c r="L30" s="123">
        <f t="shared" ca="1" si="2"/>
        <v>46106</v>
      </c>
      <c r="M30" s="145">
        <v>36</v>
      </c>
      <c r="N30" s="150">
        <f t="shared" ca="1" si="3"/>
        <v>-1.4666666666666666</v>
      </c>
      <c r="O30" s="151">
        <f t="shared" ca="1" si="4"/>
        <v>-4.0740740740740737E-2</v>
      </c>
      <c r="P30" s="148"/>
      <c r="Q30" s="149"/>
      <c r="R30" s="144" t="s">
        <v>670</v>
      </c>
    </row>
    <row r="31" spans="1:18" ht="24.95" customHeight="1">
      <c r="A31" s="8" t="s">
        <v>78</v>
      </c>
      <c r="B31" s="8" t="s">
        <v>85</v>
      </c>
      <c r="C31" s="8" t="s">
        <v>75</v>
      </c>
      <c r="D31" s="145">
        <v>8809491946246</v>
      </c>
      <c r="E31" s="146" t="s">
        <v>15</v>
      </c>
      <c r="F31" s="134" t="str">
        <f t="shared" si="0"/>
        <v>GLAMRR Q</v>
      </c>
      <c r="G31" s="147">
        <v>11</v>
      </c>
      <c r="H31" s="147"/>
      <c r="I31" s="147">
        <f t="shared" si="1"/>
        <v>11</v>
      </c>
      <c r="J31" s="147" t="s">
        <v>28</v>
      </c>
      <c r="K31" s="123">
        <v>46062</v>
      </c>
      <c r="L31" s="123">
        <f t="shared" ca="1" si="2"/>
        <v>46106</v>
      </c>
      <c r="M31" s="145">
        <v>36</v>
      </c>
      <c r="N31" s="150">
        <f t="shared" ca="1" si="3"/>
        <v>-1.4666666666666666</v>
      </c>
      <c r="O31" s="151">
        <f t="shared" ca="1" si="4"/>
        <v>-4.0740740740740737E-2</v>
      </c>
      <c r="P31" s="148"/>
      <c r="Q31" s="149"/>
      <c r="R31" s="144" t="s">
        <v>670</v>
      </c>
    </row>
    <row r="32" spans="1:18" ht="24.95" customHeight="1">
      <c r="A32" s="8" t="s">
        <v>78</v>
      </c>
      <c r="B32" s="8" t="s">
        <v>85</v>
      </c>
      <c r="C32" s="8" t="s">
        <v>75</v>
      </c>
      <c r="D32" s="145">
        <v>8809491946253</v>
      </c>
      <c r="E32" s="146" t="s">
        <v>16</v>
      </c>
      <c r="F32" s="134" t="str">
        <f t="shared" si="0"/>
        <v>GLAMRR Q</v>
      </c>
      <c r="G32" s="147">
        <v>3</v>
      </c>
      <c r="H32" s="147"/>
      <c r="I32" s="147">
        <f t="shared" si="1"/>
        <v>3</v>
      </c>
      <c r="J32" s="147" t="s">
        <v>30</v>
      </c>
      <c r="K32" s="123">
        <v>46062</v>
      </c>
      <c r="L32" s="123">
        <f t="shared" ca="1" si="2"/>
        <v>46106</v>
      </c>
      <c r="M32" s="145">
        <v>36</v>
      </c>
      <c r="N32" s="150">
        <f t="shared" ca="1" si="3"/>
        <v>-1.4666666666666666</v>
      </c>
      <c r="O32" s="151">
        <f t="shared" ca="1" si="4"/>
        <v>-4.0740740740740737E-2</v>
      </c>
      <c r="P32" s="148"/>
      <c r="Q32" s="149"/>
      <c r="R32" s="144" t="s">
        <v>670</v>
      </c>
    </row>
    <row r="33" spans="1:18" ht="24.95" customHeight="1">
      <c r="A33" s="8" t="s">
        <v>78</v>
      </c>
      <c r="B33" s="8" t="s">
        <v>85</v>
      </c>
      <c r="C33" s="8" t="s">
        <v>75</v>
      </c>
      <c r="D33" s="145">
        <v>8809491946253</v>
      </c>
      <c r="E33" s="146" t="s">
        <v>16</v>
      </c>
      <c r="F33" s="134" t="str">
        <f t="shared" si="0"/>
        <v>GLAMRR Q</v>
      </c>
      <c r="G33" s="147">
        <v>24</v>
      </c>
      <c r="H33" s="147"/>
      <c r="I33" s="147">
        <f t="shared" si="1"/>
        <v>24</v>
      </c>
      <c r="J33" s="147" t="s">
        <v>28</v>
      </c>
      <c r="K33" s="123">
        <v>46062</v>
      </c>
      <c r="L33" s="123">
        <f t="shared" ca="1" si="2"/>
        <v>46106</v>
      </c>
      <c r="M33" s="145">
        <v>36</v>
      </c>
      <c r="N33" s="150">
        <f t="shared" ca="1" si="3"/>
        <v>-1.4666666666666666</v>
      </c>
      <c r="O33" s="151">
        <f t="shared" ca="1" si="4"/>
        <v>-4.0740740740740737E-2</v>
      </c>
      <c r="P33" s="148"/>
      <c r="Q33" s="149"/>
      <c r="R33" s="144" t="s">
        <v>670</v>
      </c>
    </row>
    <row r="34" spans="1:18" ht="24.95" customHeight="1">
      <c r="A34" s="8" t="s">
        <v>78</v>
      </c>
      <c r="B34" s="8" t="s">
        <v>85</v>
      </c>
      <c r="C34" s="8" t="s">
        <v>75</v>
      </c>
      <c r="D34" s="145">
        <v>8809491946253</v>
      </c>
      <c r="E34" s="146" t="s">
        <v>16</v>
      </c>
      <c r="F34" s="134" t="str">
        <f t="shared" si="0"/>
        <v>GLAMRR Q</v>
      </c>
      <c r="G34" s="147">
        <v>2</v>
      </c>
      <c r="H34" s="147"/>
      <c r="I34" s="147">
        <f t="shared" si="1"/>
        <v>2</v>
      </c>
      <c r="J34" s="147" t="s">
        <v>30</v>
      </c>
      <c r="K34" s="123">
        <v>46062</v>
      </c>
      <c r="L34" s="123">
        <f t="shared" ca="1" si="2"/>
        <v>46106</v>
      </c>
      <c r="M34" s="145">
        <v>36</v>
      </c>
      <c r="N34" s="150">
        <f t="shared" ca="1" si="3"/>
        <v>-1.4666666666666666</v>
      </c>
      <c r="O34" s="151">
        <f t="shared" ca="1" si="4"/>
        <v>-4.0740740740740737E-2</v>
      </c>
      <c r="P34" s="148"/>
      <c r="Q34" s="149"/>
      <c r="R34" s="144" t="s">
        <v>670</v>
      </c>
    </row>
    <row r="35" spans="1:18" ht="24.95" customHeight="1">
      <c r="A35" s="8" t="s">
        <v>78</v>
      </c>
      <c r="B35" s="8" t="s">
        <v>85</v>
      </c>
      <c r="C35" s="8" t="s">
        <v>75</v>
      </c>
      <c r="D35" s="145">
        <v>8809491946253</v>
      </c>
      <c r="E35" s="146" t="s">
        <v>16</v>
      </c>
      <c r="F35" s="134" t="str">
        <f t="shared" si="0"/>
        <v>GLAMRR Q</v>
      </c>
      <c r="G35" s="147">
        <v>47</v>
      </c>
      <c r="H35" s="147"/>
      <c r="I35" s="147">
        <f t="shared" si="1"/>
        <v>47</v>
      </c>
      <c r="J35" s="147" t="s">
        <v>28</v>
      </c>
      <c r="K35" s="123">
        <v>46062</v>
      </c>
      <c r="L35" s="123">
        <f t="shared" ca="1" si="2"/>
        <v>46106</v>
      </c>
      <c r="M35" s="145">
        <v>36</v>
      </c>
      <c r="N35" s="150">
        <f t="shared" ca="1" si="3"/>
        <v>-1.4666666666666666</v>
      </c>
      <c r="O35" s="151">
        <f t="shared" ca="1" si="4"/>
        <v>-4.0740740740740737E-2</v>
      </c>
      <c r="P35" s="148"/>
      <c r="Q35" s="149"/>
      <c r="R35" s="144" t="s">
        <v>670</v>
      </c>
    </row>
    <row r="36" spans="1:18" ht="24.95" customHeight="1">
      <c r="A36" s="8" t="s">
        <v>78</v>
      </c>
      <c r="B36" s="8" t="s">
        <v>85</v>
      </c>
      <c r="C36" s="8" t="s">
        <v>75</v>
      </c>
      <c r="D36" s="145">
        <v>8809491946260</v>
      </c>
      <c r="E36" s="146" t="s">
        <v>17</v>
      </c>
      <c r="F36" s="134" t="str">
        <f t="shared" si="0"/>
        <v>GLAMRR Q</v>
      </c>
      <c r="G36" s="147">
        <v>55</v>
      </c>
      <c r="H36" s="147"/>
      <c r="I36" s="147">
        <f t="shared" si="1"/>
        <v>55</v>
      </c>
      <c r="J36" s="147" t="s">
        <v>28</v>
      </c>
      <c r="K36" s="123">
        <v>46062</v>
      </c>
      <c r="L36" s="123">
        <f t="shared" ca="1" si="2"/>
        <v>46106</v>
      </c>
      <c r="M36" s="145">
        <v>36</v>
      </c>
      <c r="N36" s="150">
        <f t="shared" ca="1" si="3"/>
        <v>-1.4666666666666666</v>
      </c>
      <c r="O36" s="151">
        <f t="shared" ca="1" si="4"/>
        <v>-4.0740740740740737E-2</v>
      </c>
      <c r="P36" s="148"/>
      <c r="Q36" s="149"/>
      <c r="R36" s="144" t="s">
        <v>670</v>
      </c>
    </row>
    <row r="37" spans="1:18" ht="24.95" customHeight="1">
      <c r="A37" s="8" t="s">
        <v>78</v>
      </c>
      <c r="B37" s="8" t="s">
        <v>85</v>
      </c>
      <c r="C37" s="8" t="s">
        <v>75</v>
      </c>
      <c r="D37" s="145">
        <v>8809491946260</v>
      </c>
      <c r="E37" s="146" t="s">
        <v>17</v>
      </c>
      <c r="F37" s="134" t="str">
        <f t="shared" si="0"/>
        <v>GLAMRR Q</v>
      </c>
      <c r="G37" s="147">
        <v>21</v>
      </c>
      <c r="H37" s="147"/>
      <c r="I37" s="147">
        <f t="shared" si="1"/>
        <v>21</v>
      </c>
      <c r="J37" s="147" t="s">
        <v>30</v>
      </c>
      <c r="K37" s="123">
        <v>46062</v>
      </c>
      <c r="L37" s="123">
        <f t="shared" ca="1" si="2"/>
        <v>46106</v>
      </c>
      <c r="M37" s="145">
        <v>36</v>
      </c>
      <c r="N37" s="150">
        <f t="shared" ca="1" si="3"/>
        <v>-1.4666666666666666</v>
      </c>
      <c r="O37" s="151">
        <f t="shared" ca="1" si="4"/>
        <v>-4.0740740740740737E-2</v>
      </c>
      <c r="P37" s="148"/>
      <c r="Q37" s="149"/>
      <c r="R37" s="144" t="s">
        <v>670</v>
      </c>
    </row>
    <row r="38" spans="1:18" ht="24.95" customHeight="1">
      <c r="A38" s="8" t="s">
        <v>78</v>
      </c>
      <c r="B38" s="8" t="s">
        <v>85</v>
      </c>
      <c r="C38" s="8" t="s">
        <v>75</v>
      </c>
      <c r="D38" s="145">
        <v>8809491946277</v>
      </c>
      <c r="E38" s="146" t="s">
        <v>18</v>
      </c>
      <c r="F38" s="134" t="str">
        <f t="shared" si="0"/>
        <v>GLAMRR Q</v>
      </c>
      <c r="G38" s="147">
        <v>20</v>
      </c>
      <c r="H38" s="147"/>
      <c r="I38" s="147">
        <f t="shared" si="1"/>
        <v>20</v>
      </c>
      <c r="J38" s="147" t="s">
        <v>30</v>
      </c>
      <c r="K38" s="123">
        <v>46063</v>
      </c>
      <c r="L38" s="123">
        <f t="shared" ca="1" si="2"/>
        <v>46106</v>
      </c>
      <c r="M38" s="145">
        <v>36</v>
      </c>
      <c r="N38" s="150">
        <f t="shared" ca="1" si="3"/>
        <v>-1.4333333333333333</v>
      </c>
      <c r="O38" s="151">
        <f t="shared" ca="1" si="4"/>
        <v>-3.9814814814814817E-2</v>
      </c>
      <c r="P38" s="148"/>
      <c r="Q38" s="149"/>
      <c r="R38" s="144" t="s">
        <v>670</v>
      </c>
    </row>
    <row r="39" spans="1:18" ht="24.95" customHeight="1">
      <c r="A39" s="8" t="s">
        <v>78</v>
      </c>
      <c r="B39" s="8" t="s">
        <v>85</v>
      </c>
      <c r="C39" s="8" t="s">
        <v>75</v>
      </c>
      <c r="D39" s="145">
        <v>8809491946277</v>
      </c>
      <c r="E39" s="146" t="s">
        <v>18</v>
      </c>
      <c r="F39" s="134" t="str">
        <f t="shared" si="0"/>
        <v>GLAMRR Q</v>
      </c>
      <c r="G39" s="147">
        <v>53</v>
      </c>
      <c r="H39" s="147"/>
      <c r="I39" s="147">
        <f t="shared" si="1"/>
        <v>53</v>
      </c>
      <c r="J39" s="147" t="s">
        <v>28</v>
      </c>
      <c r="K39" s="123">
        <v>46063</v>
      </c>
      <c r="L39" s="123">
        <f t="shared" ca="1" si="2"/>
        <v>46106</v>
      </c>
      <c r="M39" s="145">
        <v>36</v>
      </c>
      <c r="N39" s="150">
        <f t="shared" ca="1" si="3"/>
        <v>-1.4333333333333333</v>
      </c>
      <c r="O39" s="151">
        <f t="shared" ca="1" si="4"/>
        <v>-3.9814814814814817E-2</v>
      </c>
      <c r="P39" s="148"/>
      <c r="Q39" s="149"/>
      <c r="R39" s="144" t="s">
        <v>670</v>
      </c>
    </row>
    <row r="40" spans="1:18" ht="24.95" customHeight="1">
      <c r="A40" s="8" t="s">
        <v>78</v>
      </c>
      <c r="B40" s="8" t="s">
        <v>85</v>
      </c>
      <c r="C40" s="8" t="s">
        <v>75</v>
      </c>
      <c r="D40" s="145">
        <v>8809563069910</v>
      </c>
      <c r="E40" s="146" t="s">
        <v>21</v>
      </c>
      <c r="F40" s="134" t="str">
        <f t="shared" si="0"/>
        <v>GLAMRR Q</v>
      </c>
      <c r="G40" s="147">
        <v>40</v>
      </c>
      <c r="H40" s="147"/>
      <c r="I40" s="147">
        <f t="shared" si="1"/>
        <v>40</v>
      </c>
      <c r="J40" s="147" t="s">
        <v>28</v>
      </c>
      <c r="K40" s="123">
        <v>46068</v>
      </c>
      <c r="L40" s="123">
        <f t="shared" ca="1" si="2"/>
        <v>46106</v>
      </c>
      <c r="M40" s="145">
        <v>36</v>
      </c>
      <c r="N40" s="150">
        <f t="shared" ca="1" si="3"/>
        <v>-1.2666666666666666</v>
      </c>
      <c r="O40" s="151">
        <f t="shared" ca="1" si="4"/>
        <v>-3.518518518518518E-2</v>
      </c>
      <c r="P40" s="148"/>
      <c r="Q40" s="149"/>
      <c r="R40" s="144" t="s">
        <v>670</v>
      </c>
    </row>
    <row r="41" spans="1:18" ht="24.95" customHeight="1">
      <c r="A41" s="8" t="s">
        <v>78</v>
      </c>
      <c r="B41" s="8" t="s">
        <v>85</v>
      </c>
      <c r="C41" s="8" t="s">
        <v>75</v>
      </c>
      <c r="D41" s="145">
        <v>8809563069910</v>
      </c>
      <c r="E41" s="146" t="s">
        <v>21</v>
      </c>
      <c r="F41" s="134" t="str">
        <f t="shared" si="0"/>
        <v>GLAMRR Q</v>
      </c>
      <c r="G41" s="147">
        <v>3</v>
      </c>
      <c r="H41" s="147"/>
      <c r="I41" s="147">
        <f t="shared" si="1"/>
        <v>3</v>
      </c>
      <c r="J41" s="147" t="s">
        <v>30</v>
      </c>
      <c r="K41" s="123">
        <v>46068</v>
      </c>
      <c r="L41" s="123">
        <f t="shared" ca="1" si="2"/>
        <v>46106</v>
      </c>
      <c r="M41" s="145">
        <v>36</v>
      </c>
      <c r="N41" s="150">
        <f t="shared" ca="1" si="3"/>
        <v>-1.2666666666666666</v>
      </c>
      <c r="O41" s="151">
        <f t="shared" ca="1" si="4"/>
        <v>-3.518518518518518E-2</v>
      </c>
      <c r="P41" s="148"/>
      <c r="Q41" s="149"/>
      <c r="R41" s="144" t="s">
        <v>670</v>
      </c>
    </row>
    <row r="42" spans="1:18" ht="24.95" customHeight="1">
      <c r="A42" s="8" t="s">
        <v>78</v>
      </c>
      <c r="B42" s="8" t="s">
        <v>85</v>
      </c>
      <c r="C42" s="8" t="s">
        <v>75</v>
      </c>
      <c r="D42" s="145">
        <v>8809203078227</v>
      </c>
      <c r="E42" s="146" t="s">
        <v>5</v>
      </c>
      <c r="F42" s="134" t="str">
        <f t="shared" si="0"/>
        <v>GILAA</v>
      </c>
      <c r="G42" s="147">
        <v>4</v>
      </c>
      <c r="H42" s="147"/>
      <c r="I42" s="147">
        <f t="shared" si="1"/>
        <v>4</v>
      </c>
      <c r="J42" s="147" t="s">
        <v>28</v>
      </c>
      <c r="K42" s="123">
        <v>46074</v>
      </c>
      <c r="L42" s="123">
        <f t="shared" ca="1" si="2"/>
        <v>46106</v>
      </c>
      <c r="M42" s="145">
        <v>36</v>
      </c>
      <c r="N42" s="150">
        <f t="shared" ca="1" si="3"/>
        <v>-1.0666666666666667</v>
      </c>
      <c r="O42" s="151">
        <f t="shared" ca="1" si="4"/>
        <v>-2.9629629629629631E-2</v>
      </c>
      <c r="P42" s="148"/>
      <c r="Q42" s="129" t="s">
        <v>656</v>
      </c>
      <c r="R42" s="144" t="s">
        <v>670</v>
      </c>
    </row>
    <row r="43" spans="1:18" ht="24.95" customHeight="1">
      <c r="A43" s="8" t="s">
        <v>78</v>
      </c>
      <c r="B43" s="8" t="s">
        <v>85</v>
      </c>
      <c r="C43" s="8" t="s">
        <v>75</v>
      </c>
      <c r="D43" s="145">
        <v>8809491946260</v>
      </c>
      <c r="E43" s="146" t="s">
        <v>17</v>
      </c>
      <c r="F43" s="134" t="str">
        <f t="shared" si="0"/>
        <v>GLAMRR Q</v>
      </c>
      <c r="G43" s="147">
        <v>3</v>
      </c>
      <c r="H43" s="147"/>
      <c r="I43" s="147">
        <f t="shared" si="1"/>
        <v>3</v>
      </c>
      <c r="J43" s="147" t="s">
        <v>28</v>
      </c>
      <c r="K43" s="123">
        <v>46082</v>
      </c>
      <c r="L43" s="123">
        <f t="shared" ca="1" si="2"/>
        <v>46106</v>
      </c>
      <c r="M43" s="145">
        <v>36</v>
      </c>
      <c r="N43" s="150">
        <f t="shared" ca="1" si="3"/>
        <v>-0.8</v>
      </c>
      <c r="O43" s="151">
        <f t="shared" ca="1" si="4"/>
        <v>-2.2222222222222223E-2</v>
      </c>
      <c r="P43" s="148"/>
      <c r="Q43" s="149"/>
      <c r="R43" s="144" t="s">
        <v>670</v>
      </c>
    </row>
    <row r="44" spans="1:18" ht="24.95" customHeight="1">
      <c r="A44" s="8" t="s">
        <v>78</v>
      </c>
      <c r="B44" s="8" t="s">
        <v>85</v>
      </c>
      <c r="C44" s="8" t="s">
        <v>75</v>
      </c>
      <c r="D44" s="145">
        <v>8809491946260</v>
      </c>
      <c r="E44" s="146" t="s">
        <v>17</v>
      </c>
      <c r="F44" s="134" t="str">
        <f t="shared" si="0"/>
        <v>GLAMRR Q</v>
      </c>
      <c r="G44" s="147">
        <v>10</v>
      </c>
      <c r="H44" s="147"/>
      <c r="I44" s="147">
        <f t="shared" si="1"/>
        <v>10</v>
      </c>
      <c r="J44" s="147" t="s">
        <v>30</v>
      </c>
      <c r="K44" s="123">
        <v>46082</v>
      </c>
      <c r="L44" s="123">
        <f t="shared" ca="1" si="2"/>
        <v>46106</v>
      </c>
      <c r="M44" s="145">
        <v>36</v>
      </c>
      <c r="N44" s="150">
        <f t="shared" ca="1" si="3"/>
        <v>-0.8</v>
      </c>
      <c r="O44" s="151">
        <f t="shared" ca="1" si="4"/>
        <v>-2.2222222222222223E-2</v>
      </c>
      <c r="P44" s="148"/>
      <c r="Q44" s="149"/>
      <c r="R44" s="144" t="s">
        <v>670</v>
      </c>
    </row>
    <row r="45" spans="1:18" ht="24.95" customHeight="1">
      <c r="A45" s="8" t="s">
        <v>78</v>
      </c>
      <c r="B45" s="8" t="s">
        <v>85</v>
      </c>
      <c r="C45" s="8" t="s">
        <v>75</v>
      </c>
      <c r="D45" s="145">
        <v>8809875904862</v>
      </c>
      <c r="E45" s="146" t="s">
        <v>25</v>
      </c>
      <c r="F45" s="134" t="str">
        <f t="shared" si="0"/>
        <v>GLAMRR Q</v>
      </c>
      <c r="G45" s="147">
        <v>15</v>
      </c>
      <c r="H45" s="147"/>
      <c r="I45" s="147">
        <f t="shared" si="1"/>
        <v>15</v>
      </c>
      <c r="J45" s="147" t="s">
        <v>30</v>
      </c>
      <c r="K45" s="123">
        <v>46089</v>
      </c>
      <c r="L45" s="123">
        <f t="shared" ca="1" si="2"/>
        <v>46106</v>
      </c>
      <c r="M45" s="145">
        <v>36</v>
      </c>
      <c r="N45" s="150">
        <f t="shared" ca="1" si="3"/>
        <v>-0.56666666666666665</v>
      </c>
      <c r="O45" s="151">
        <f t="shared" ca="1" si="4"/>
        <v>-1.5740740740740739E-2</v>
      </c>
      <c r="P45" s="148"/>
      <c r="Q45" s="149"/>
      <c r="R45" s="144" t="s">
        <v>670</v>
      </c>
    </row>
    <row r="46" spans="1:18" ht="24.95" customHeight="1">
      <c r="A46" s="8" t="s">
        <v>78</v>
      </c>
      <c r="B46" s="8" t="s">
        <v>85</v>
      </c>
      <c r="C46" s="8" t="s">
        <v>75</v>
      </c>
      <c r="D46" s="145">
        <v>8809875904862</v>
      </c>
      <c r="E46" s="146" t="s">
        <v>25</v>
      </c>
      <c r="F46" s="134" t="str">
        <f t="shared" si="0"/>
        <v>GLAMRR Q</v>
      </c>
      <c r="G46" s="147">
        <v>17</v>
      </c>
      <c r="H46" s="147"/>
      <c r="I46" s="147">
        <f t="shared" si="1"/>
        <v>17</v>
      </c>
      <c r="J46" s="147" t="s">
        <v>28</v>
      </c>
      <c r="K46" s="123">
        <v>46089</v>
      </c>
      <c r="L46" s="123">
        <f t="shared" ca="1" si="2"/>
        <v>46106</v>
      </c>
      <c r="M46" s="145">
        <v>36</v>
      </c>
      <c r="N46" s="150">
        <f t="shared" ca="1" si="3"/>
        <v>-0.56666666666666665</v>
      </c>
      <c r="O46" s="151">
        <f t="shared" ca="1" si="4"/>
        <v>-1.5740740740740739E-2</v>
      </c>
      <c r="P46" s="148"/>
      <c r="Q46" s="149"/>
      <c r="R46" s="144" t="s">
        <v>670</v>
      </c>
    </row>
    <row r="47" spans="1:18" ht="24.95" customHeight="1">
      <c r="A47" s="8" t="s">
        <v>78</v>
      </c>
      <c r="B47" s="8" t="s">
        <v>85</v>
      </c>
      <c r="C47" s="8" t="s">
        <v>75</v>
      </c>
      <c r="D47" s="145">
        <v>8809875904879</v>
      </c>
      <c r="E47" s="146" t="s">
        <v>26</v>
      </c>
      <c r="F47" s="134" t="str">
        <f t="shared" si="0"/>
        <v>GLAMRR Q</v>
      </c>
      <c r="G47" s="147">
        <v>13</v>
      </c>
      <c r="H47" s="147"/>
      <c r="I47" s="147">
        <f t="shared" si="1"/>
        <v>13</v>
      </c>
      <c r="J47" s="147" t="s">
        <v>30</v>
      </c>
      <c r="K47" s="123">
        <v>46090</v>
      </c>
      <c r="L47" s="123">
        <f t="shared" ca="1" si="2"/>
        <v>46106</v>
      </c>
      <c r="M47" s="145">
        <v>36</v>
      </c>
      <c r="N47" s="150">
        <f t="shared" ca="1" si="3"/>
        <v>-0.53333333333333333</v>
      </c>
      <c r="O47" s="151">
        <f t="shared" ca="1" si="4"/>
        <v>-1.4814814814814815E-2</v>
      </c>
      <c r="P47" s="148"/>
      <c r="Q47" s="149"/>
      <c r="R47" s="144" t="s">
        <v>670</v>
      </c>
    </row>
    <row r="48" spans="1:18" ht="24.95" customHeight="1">
      <c r="A48" s="8" t="s">
        <v>78</v>
      </c>
      <c r="B48" s="8" t="s">
        <v>85</v>
      </c>
      <c r="C48" s="8" t="s">
        <v>75</v>
      </c>
      <c r="D48" s="145">
        <v>8809875904879</v>
      </c>
      <c r="E48" s="146" t="s">
        <v>26</v>
      </c>
      <c r="F48" s="134" t="str">
        <f t="shared" si="0"/>
        <v>GLAMRR Q</v>
      </c>
      <c r="G48" s="147">
        <v>34</v>
      </c>
      <c r="H48" s="147"/>
      <c r="I48" s="147">
        <f t="shared" si="1"/>
        <v>34</v>
      </c>
      <c r="J48" s="147" t="s">
        <v>28</v>
      </c>
      <c r="K48" s="123">
        <v>46090</v>
      </c>
      <c r="L48" s="123">
        <f t="shared" ca="1" si="2"/>
        <v>46106</v>
      </c>
      <c r="M48" s="145">
        <v>36</v>
      </c>
      <c r="N48" s="150">
        <f t="shared" ca="1" si="3"/>
        <v>-0.53333333333333333</v>
      </c>
      <c r="O48" s="151">
        <f t="shared" ca="1" si="4"/>
        <v>-1.4814814814814815E-2</v>
      </c>
      <c r="P48" s="148"/>
      <c r="Q48" s="149"/>
      <c r="R48" s="144" t="s">
        <v>670</v>
      </c>
    </row>
    <row r="49" spans="1:18" ht="24.95" customHeight="1">
      <c r="A49" s="8" t="s">
        <v>78</v>
      </c>
      <c r="B49" s="8" t="s">
        <v>85</v>
      </c>
      <c r="C49" s="8" t="s">
        <v>75</v>
      </c>
      <c r="D49" s="145">
        <v>8809526841393</v>
      </c>
      <c r="E49" s="146" t="s">
        <v>19</v>
      </c>
      <c r="F49" s="134" t="str">
        <f t="shared" si="0"/>
        <v>GLAMRR Q</v>
      </c>
      <c r="G49" s="147">
        <v>12</v>
      </c>
      <c r="H49" s="147"/>
      <c r="I49" s="147">
        <f t="shared" si="1"/>
        <v>12</v>
      </c>
      <c r="J49" s="147" t="s">
        <v>28</v>
      </c>
      <c r="K49" s="123">
        <v>46104</v>
      </c>
      <c r="L49" s="123">
        <f t="shared" ca="1" si="2"/>
        <v>46106</v>
      </c>
      <c r="M49" s="145">
        <v>36</v>
      </c>
      <c r="N49" s="150">
        <f t="shared" ca="1" si="3"/>
        <v>-6.6666666666666666E-2</v>
      </c>
      <c r="O49" s="151">
        <f t="shared" ca="1" si="4"/>
        <v>-1.8518518518518519E-3</v>
      </c>
      <c r="P49" s="148"/>
      <c r="Q49" s="149"/>
      <c r="R49" s="144" t="s">
        <v>670</v>
      </c>
    </row>
    <row r="50" spans="1:18" ht="24.95" customHeight="1">
      <c r="A50" s="8" t="s">
        <v>78</v>
      </c>
      <c r="B50" s="8" t="s">
        <v>85</v>
      </c>
      <c r="C50" s="8" t="s">
        <v>75</v>
      </c>
      <c r="D50" s="145">
        <v>8809526841393</v>
      </c>
      <c r="E50" s="146" t="s">
        <v>19</v>
      </c>
      <c r="F50" s="134" t="str">
        <f t="shared" si="0"/>
        <v>GLAMRR Q</v>
      </c>
      <c r="G50" s="147">
        <v>1</v>
      </c>
      <c r="H50" s="147"/>
      <c r="I50" s="147">
        <f t="shared" si="1"/>
        <v>1</v>
      </c>
      <c r="J50" s="147" t="s">
        <v>29</v>
      </c>
      <c r="K50" s="123">
        <v>46104</v>
      </c>
      <c r="L50" s="123">
        <f t="shared" ca="1" si="2"/>
        <v>46106</v>
      </c>
      <c r="M50" s="145">
        <v>36</v>
      </c>
      <c r="N50" s="150">
        <f t="shared" ca="1" si="3"/>
        <v>-6.6666666666666666E-2</v>
      </c>
      <c r="O50" s="151">
        <f t="shared" ca="1" si="4"/>
        <v>-1.8518518518518519E-3</v>
      </c>
      <c r="P50" s="148"/>
      <c r="Q50" s="149"/>
      <c r="R50" s="144" t="s">
        <v>670</v>
      </c>
    </row>
    <row r="51" spans="1:18" ht="24.95" customHeight="1">
      <c r="A51" s="8" t="s">
        <v>78</v>
      </c>
      <c r="B51" s="8" t="s">
        <v>85</v>
      </c>
      <c r="C51" s="8" t="s">
        <v>75</v>
      </c>
      <c r="D51" s="145">
        <v>8809526841409</v>
      </c>
      <c r="E51" s="146" t="s">
        <v>20</v>
      </c>
      <c r="F51" s="134" t="str">
        <f t="shared" si="0"/>
        <v>GLAMRR Q</v>
      </c>
      <c r="G51" s="147">
        <v>10</v>
      </c>
      <c r="H51" s="147"/>
      <c r="I51" s="147">
        <f t="shared" si="1"/>
        <v>10</v>
      </c>
      <c r="J51" s="147" t="s">
        <v>28</v>
      </c>
      <c r="K51" s="123">
        <v>46104</v>
      </c>
      <c r="L51" s="123">
        <f t="shared" ca="1" si="2"/>
        <v>46106</v>
      </c>
      <c r="M51" s="145">
        <v>36</v>
      </c>
      <c r="N51" s="150">
        <f t="shared" ca="1" si="3"/>
        <v>-6.6666666666666666E-2</v>
      </c>
      <c r="O51" s="151">
        <f t="shared" ca="1" si="4"/>
        <v>-1.8518518518518519E-3</v>
      </c>
      <c r="P51" s="148"/>
      <c r="Q51" s="149"/>
      <c r="R51" s="144" t="s">
        <v>670</v>
      </c>
    </row>
    <row r="52" spans="1:18" ht="24.95" customHeight="1">
      <c r="A52" s="8" t="s">
        <v>78</v>
      </c>
      <c r="B52" s="8" t="s">
        <v>85</v>
      </c>
      <c r="C52" s="8" t="s">
        <v>75</v>
      </c>
      <c r="D52" s="145">
        <v>8809526841409</v>
      </c>
      <c r="E52" s="146" t="s">
        <v>20</v>
      </c>
      <c r="F52" s="134" t="str">
        <f t="shared" si="0"/>
        <v>GLAMRR Q</v>
      </c>
      <c r="G52" s="147">
        <v>1</v>
      </c>
      <c r="H52" s="147"/>
      <c r="I52" s="147">
        <f t="shared" si="1"/>
        <v>1</v>
      </c>
      <c r="J52" s="147" t="s">
        <v>29</v>
      </c>
      <c r="K52" s="123">
        <v>46104</v>
      </c>
      <c r="L52" s="123">
        <f t="shared" ca="1" si="2"/>
        <v>46106</v>
      </c>
      <c r="M52" s="145">
        <v>36</v>
      </c>
      <c r="N52" s="150">
        <f t="shared" ca="1" si="3"/>
        <v>-6.6666666666666666E-2</v>
      </c>
      <c r="O52" s="151">
        <f t="shared" ca="1" si="4"/>
        <v>-1.8518518518518519E-3</v>
      </c>
      <c r="P52" s="148"/>
      <c r="Q52" s="149"/>
      <c r="R52" s="144" t="s">
        <v>670</v>
      </c>
    </row>
    <row r="53" spans="1:18" ht="24.95" customHeight="1">
      <c r="A53" s="8" t="s">
        <v>78</v>
      </c>
      <c r="B53" s="8" t="s">
        <v>85</v>
      </c>
      <c r="C53" s="8" t="s">
        <v>75</v>
      </c>
      <c r="D53" s="145">
        <v>8809864752238</v>
      </c>
      <c r="E53" s="146" t="s">
        <v>23</v>
      </c>
      <c r="F53" s="134" t="str">
        <f t="shared" si="0"/>
        <v>GLAMRR Q</v>
      </c>
      <c r="G53" s="147">
        <v>1</v>
      </c>
      <c r="H53" s="147"/>
      <c r="I53" s="147">
        <f t="shared" si="1"/>
        <v>1</v>
      </c>
      <c r="J53" s="147" t="s">
        <v>30</v>
      </c>
      <c r="K53" s="123">
        <v>46116</v>
      </c>
      <c r="L53" s="123">
        <f t="shared" ca="1" si="2"/>
        <v>46106</v>
      </c>
      <c r="M53" s="145">
        <v>36</v>
      </c>
      <c r="N53" s="150">
        <f t="shared" ca="1" si="3"/>
        <v>0.33333333333333331</v>
      </c>
      <c r="O53" s="151">
        <f t="shared" ca="1" si="4"/>
        <v>9.2592592592592587E-3</v>
      </c>
      <c r="P53" s="148"/>
      <c r="Q53" s="149"/>
      <c r="R53" s="144" t="s">
        <v>670</v>
      </c>
    </row>
    <row r="54" spans="1:18" ht="24.95" customHeight="1">
      <c r="A54" s="8" t="s">
        <v>78</v>
      </c>
      <c r="B54" s="8" t="s">
        <v>85</v>
      </c>
      <c r="C54" s="8" t="s">
        <v>75</v>
      </c>
      <c r="D54" s="145">
        <v>8809864752238</v>
      </c>
      <c r="E54" s="146" t="s">
        <v>23</v>
      </c>
      <c r="F54" s="134" t="str">
        <f t="shared" si="0"/>
        <v>GLAMRR Q</v>
      </c>
      <c r="G54" s="147">
        <v>9</v>
      </c>
      <c r="H54" s="147"/>
      <c r="I54" s="147">
        <f t="shared" si="1"/>
        <v>9</v>
      </c>
      <c r="J54" s="147" t="s">
        <v>28</v>
      </c>
      <c r="K54" s="123">
        <v>46116</v>
      </c>
      <c r="L54" s="123">
        <f t="shared" ca="1" si="2"/>
        <v>46106</v>
      </c>
      <c r="M54" s="145">
        <v>36</v>
      </c>
      <c r="N54" s="150">
        <f t="shared" ca="1" si="3"/>
        <v>0.33333333333333331</v>
      </c>
      <c r="O54" s="151">
        <f t="shared" ca="1" si="4"/>
        <v>9.2592592592592587E-3</v>
      </c>
      <c r="P54" s="148"/>
      <c r="Q54" s="149"/>
      <c r="R54" s="144" t="s">
        <v>670</v>
      </c>
    </row>
    <row r="55" spans="1:18" ht="24.95" customHeight="1">
      <c r="A55" s="8" t="s">
        <v>78</v>
      </c>
      <c r="B55" s="8" t="s">
        <v>85</v>
      </c>
      <c r="C55" s="8" t="s">
        <v>75</v>
      </c>
      <c r="D55" s="145">
        <v>8809864752245</v>
      </c>
      <c r="E55" s="146" t="s">
        <v>24</v>
      </c>
      <c r="F55" s="134" t="str">
        <f t="shared" si="0"/>
        <v>GLAMRR Q</v>
      </c>
      <c r="G55" s="147">
        <v>2</v>
      </c>
      <c r="H55" s="147"/>
      <c r="I55" s="147">
        <f t="shared" si="1"/>
        <v>2</v>
      </c>
      <c r="J55" s="147" t="s">
        <v>30</v>
      </c>
      <c r="K55" s="123">
        <v>46116</v>
      </c>
      <c r="L55" s="123">
        <f t="shared" ca="1" si="2"/>
        <v>46106</v>
      </c>
      <c r="M55" s="145">
        <v>36</v>
      </c>
      <c r="N55" s="150">
        <f t="shared" ca="1" si="3"/>
        <v>0.33333333333333331</v>
      </c>
      <c r="O55" s="151">
        <f t="shared" ca="1" si="4"/>
        <v>9.2592592592592587E-3</v>
      </c>
      <c r="P55" s="148"/>
      <c r="Q55" s="149"/>
      <c r="R55" s="144" t="s">
        <v>670</v>
      </c>
    </row>
    <row r="56" spans="1:18" ht="24.95" customHeight="1">
      <c r="A56" s="8" t="s">
        <v>78</v>
      </c>
      <c r="B56" s="8" t="s">
        <v>85</v>
      </c>
      <c r="C56" s="8" t="s">
        <v>75</v>
      </c>
      <c r="D56" s="145">
        <v>8809864752245</v>
      </c>
      <c r="E56" s="146" t="s">
        <v>24</v>
      </c>
      <c r="F56" s="134" t="str">
        <f t="shared" si="0"/>
        <v>GLAMRR Q</v>
      </c>
      <c r="G56" s="147">
        <v>35</v>
      </c>
      <c r="H56" s="147"/>
      <c r="I56" s="147">
        <f t="shared" si="1"/>
        <v>35</v>
      </c>
      <c r="J56" s="147" t="s">
        <v>28</v>
      </c>
      <c r="K56" s="123">
        <v>46116</v>
      </c>
      <c r="L56" s="123">
        <f t="shared" ca="1" si="2"/>
        <v>46106</v>
      </c>
      <c r="M56" s="145">
        <v>36</v>
      </c>
      <c r="N56" s="150">
        <f t="shared" ca="1" si="3"/>
        <v>0.33333333333333331</v>
      </c>
      <c r="O56" s="151">
        <f t="shared" ca="1" si="4"/>
        <v>9.2592592592592587E-3</v>
      </c>
      <c r="P56" s="148"/>
      <c r="Q56" s="149"/>
      <c r="R56" s="144" t="s">
        <v>670</v>
      </c>
    </row>
    <row r="57" spans="1:18" ht="24.95" customHeight="1">
      <c r="A57" s="8" t="s">
        <v>78</v>
      </c>
      <c r="B57" s="8" t="s">
        <v>85</v>
      </c>
      <c r="C57" s="8" t="s">
        <v>75</v>
      </c>
      <c r="D57" s="145">
        <v>8809491946239</v>
      </c>
      <c r="E57" s="146" t="s">
        <v>14</v>
      </c>
      <c r="F57" s="134" t="str">
        <f t="shared" si="0"/>
        <v>GLAMRR Q</v>
      </c>
      <c r="G57" s="147">
        <v>1</v>
      </c>
      <c r="H57" s="147"/>
      <c r="I57" s="147">
        <f t="shared" si="1"/>
        <v>1</v>
      </c>
      <c r="J57" s="147" t="s">
        <v>30</v>
      </c>
      <c r="K57" s="123">
        <v>46200</v>
      </c>
      <c r="L57" s="123">
        <f t="shared" ca="1" si="2"/>
        <v>46106</v>
      </c>
      <c r="M57" s="145">
        <v>36</v>
      </c>
      <c r="N57" s="150">
        <f t="shared" ca="1" si="3"/>
        <v>3.1333333333333333</v>
      </c>
      <c r="O57" s="151">
        <f t="shared" ca="1" si="4"/>
        <v>8.7037037037037038E-2</v>
      </c>
      <c r="P57" s="148"/>
      <c r="Q57" s="149"/>
      <c r="R57" s="144" t="s">
        <v>670</v>
      </c>
    </row>
    <row r="58" spans="1:18" ht="24.95" customHeight="1">
      <c r="A58" s="8" t="s">
        <v>78</v>
      </c>
      <c r="B58" s="8" t="s">
        <v>85</v>
      </c>
      <c r="C58" s="8" t="s">
        <v>75</v>
      </c>
      <c r="D58" s="145">
        <v>8809491946239</v>
      </c>
      <c r="E58" s="146" t="s">
        <v>14</v>
      </c>
      <c r="F58" s="134" t="str">
        <f t="shared" si="0"/>
        <v>GLAMRR Q</v>
      </c>
      <c r="G58" s="147">
        <v>1</v>
      </c>
      <c r="H58" s="147"/>
      <c r="I58" s="147">
        <f t="shared" si="1"/>
        <v>1</v>
      </c>
      <c r="J58" s="147" t="s">
        <v>28</v>
      </c>
      <c r="K58" s="123">
        <v>46200</v>
      </c>
      <c r="L58" s="123">
        <f t="shared" ca="1" si="2"/>
        <v>46106</v>
      </c>
      <c r="M58" s="145">
        <v>36</v>
      </c>
      <c r="N58" s="150">
        <f t="shared" ca="1" si="3"/>
        <v>3.1333333333333333</v>
      </c>
      <c r="O58" s="151">
        <f t="shared" ca="1" si="4"/>
        <v>8.7037037037037038E-2</v>
      </c>
      <c r="P58" s="148"/>
      <c r="Q58" s="149"/>
      <c r="R58" s="144" t="s">
        <v>670</v>
      </c>
    </row>
    <row r="59" spans="1:18" ht="24.95" customHeight="1">
      <c r="A59" s="8" t="s">
        <v>78</v>
      </c>
      <c r="B59" s="8" t="s">
        <v>85</v>
      </c>
      <c r="C59" s="8" t="s">
        <v>75</v>
      </c>
      <c r="D59" s="145">
        <v>8809491946161</v>
      </c>
      <c r="E59" s="146" t="s">
        <v>7</v>
      </c>
      <c r="F59" s="134" t="str">
        <f t="shared" si="0"/>
        <v>GLAMRR Q</v>
      </c>
      <c r="G59" s="147">
        <v>5</v>
      </c>
      <c r="H59" s="147"/>
      <c r="I59" s="147">
        <f t="shared" si="1"/>
        <v>5</v>
      </c>
      <c r="J59" s="147" t="s">
        <v>30</v>
      </c>
      <c r="K59" s="123">
        <v>46201</v>
      </c>
      <c r="L59" s="123">
        <f t="shared" ca="1" si="2"/>
        <v>46106</v>
      </c>
      <c r="M59" s="145">
        <v>36</v>
      </c>
      <c r="N59" s="150">
        <f t="shared" ca="1" si="3"/>
        <v>3.1666666666666665</v>
      </c>
      <c r="O59" s="151">
        <f t="shared" ca="1" si="4"/>
        <v>8.7962962962962965E-2</v>
      </c>
      <c r="P59" s="152"/>
      <c r="Q59" s="153"/>
      <c r="R59" s="144" t="s">
        <v>670</v>
      </c>
    </row>
    <row r="60" spans="1:18" ht="24.95" customHeight="1">
      <c r="A60" s="8" t="s">
        <v>78</v>
      </c>
      <c r="B60" s="8" t="s">
        <v>85</v>
      </c>
      <c r="C60" s="8" t="s">
        <v>75</v>
      </c>
      <c r="D60" s="145">
        <v>8809491946161</v>
      </c>
      <c r="E60" s="146" t="s">
        <v>7</v>
      </c>
      <c r="F60" s="134" t="str">
        <f t="shared" si="0"/>
        <v>GLAMRR Q</v>
      </c>
      <c r="G60" s="147">
        <v>38</v>
      </c>
      <c r="H60" s="147"/>
      <c r="I60" s="147">
        <f t="shared" si="1"/>
        <v>38</v>
      </c>
      <c r="J60" s="147" t="s">
        <v>28</v>
      </c>
      <c r="K60" s="123">
        <v>46201</v>
      </c>
      <c r="L60" s="123">
        <f t="shared" ca="1" si="2"/>
        <v>46106</v>
      </c>
      <c r="M60" s="145">
        <v>36</v>
      </c>
      <c r="N60" s="150">
        <f t="shared" ca="1" si="3"/>
        <v>3.1666666666666665</v>
      </c>
      <c r="O60" s="151">
        <f t="shared" ca="1" si="4"/>
        <v>8.7962962962962965E-2</v>
      </c>
      <c r="P60" s="152"/>
      <c r="Q60" s="153"/>
      <c r="R60" s="144" t="s">
        <v>670</v>
      </c>
    </row>
    <row r="61" spans="1:18" ht="24.95" customHeight="1">
      <c r="A61" s="8" t="s">
        <v>78</v>
      </c>
      <c r="B61" s="8" t="s">
        <v>85</v>
      </c>
      <c r="C61" s="8" t="s">
        <v>75</v>
      </c>
      <c r="D61" s="145">
        <v>8809491946208</v>
      </c>
      <c r="E61" s="146" t="s">
        <v>11</v>
      </c>
      <c r="F61" s="134" t="str">
        <f t="shared" si="0"/>
        <v>GLAMRR Q</v>
      </c>
      <c r="G61" s="147">
        <v>5</v>
      </c>
      <c r="H61" s="147"/>
      <c r="I61" s="147">
        <f t="shared" si="1"/>
        <v>5</v>
      </c>
      <c r="J61" s="147" t="s">
        <v>30</v>
      </c>
      <c r="K61" s="123">
        <v>46201</v>
      </c>
      <c r="L61" s="123">
        <f t="shared" ca="1" si="2"/>
        <v>46106</v>
      </c>
      <c r="M61" s="145">
        <v>36</v>
      </c>
      <c r="N61" s="150">
        <f t="shared" ca="1" si="3"/>
        <v>3.1666666666666665</v>
      </c>
      <c r="O61" s="151">
        <f t="shared" ca="1" si="4"/>
        <v>8.7962962962962965E-2</v>
      </c>
      <c r="P61" s="152"/>
      <c r="Q61" s="153"/>
      <c r="R61" s="144" t="s">
        <v>670</v>
      </c>
    </row>
    <row r="62" spans="1:18" ht="24.95" customHeight="1">
      <c r="A62" s="8" t="s">
        <v>78</v>
      </c>
      <c r="B62" s="8" t="s">
        <v>85</v>
      </c>
      <c r="C62" s="8" t="s">
        <v>75</v>
      </c>
      <c r="D62" s="145">
        <v>8809491946208</v>
      </c>
      <c r="E62" s="146" t="s">
        <v>11</v>
      </c>
      <c r="F62" s="134" t="str">
        <f t="shared" si="0"/>
        <v>GLAMRR Q</v>
      </c>
      <c r="G62" s="147">
        <v>31</v>
      </c>
      <c r="H62" s="147"/>
      <c r="I62" s="147">
        <f t="shared" si="1"/>
        <v>31</v>
      </c>
      <c r="J62" s="147" t="s">
        <v>28</v>
      </c>
      <c r="K62" s="123">
        <v>46201</v>
      </c>
      <c r="L62" s="123">
        <f t="shared" ca="1" si="2"/>
        <v>46106</v>
      </c>
      <c r="M62" s="145">
        <v>36</v>
      </c>
      <c r="N62" s="150">
        <f t="shared" ca="1" si="3"/>
        <v>3.1666666666666665</v>
      </c>
      <c r="O62" s="151">
        <f t="shared" ca="1" si="4"/>
        <v>8.7962962962962965E-2</v>
      </c>
      <c r="P62" s="152"/>
      <c r="Q62" s="153"/>
      <c r="R62" s="144" t="s">
        <v>670</v>
      </c>
    </row>
    <row r="63" spans="1:18" ht="24.95" customHeight="1">
      <c r="A63" s="8" t="s">
        <v>78</v>
      </c>
      <c r="B63" s="8" t="s">
        <v>85</v>
      </c>
      <c r="C63" s="8" t="s">
        <v>75</v>
      </c>
      <c r="D63" s="145">
        <v>8809491946185</v>
      </c>
      <c r="E63" s="146" t="s">
        <v>9</v>
      </c>
      <c r="F63" s="134" t="str">
        <f t="shared" si="0"/>
        <v>GLAMRR Q</v>
      </c>
      <c r="G63" s="147">
        <v>2</v>
      </c>
      <c r="H63" s="147"/>
      <c r="I63" s="147">
        <f t="shared" si="1"/>
        <v>2</v>
      </c>
      <c r="J63" s="147" t="s">
        <v>30</v>
      </c>
      <c r="K63" s="123">
        <v>46219</v>
      </c>
      <c r="L63" s="123">
        <f t="shared" ca="1" si="2"/>
        <v>46106</v>
      </c>
      <c r="M63" s="145">
        <v>36</v>
      </c>
      <c r="N63" s="150">
        <f t="shared" ca="1" si="3"/>
        <v>3.7666666666666666</v>
      </c>
      <c r="O63" s="151">
        <f t="shared" ca="1" si="4"/>
        <v>0.10462962962962963</v>
      </c>
      <c r="P63" s="152"/>
      <c r="Q63" s="153"/>
      <c r="R63" s="144" t="s">
        <v>670</v>
      </c>
    </row>
    <row r="64" spans="1:18" ht="24.95" customHeight="1">
      <c r="A64" s="8" t="s">
        <v>78</v>
      </c>
      <c r="B64" s="8" t="s">
        <v>85</v>
      </c>
      <c r="C64" s="8" t="s">
        <v>75</v>
      </c>
      <c r="D64" s="145">
        <v>8809491946185</v>
      </c>
      <c r="E64" s="146" t="s">
        <v>9</v>
      </c>
      <c r="F64" s="134" t="str">
        <f t="shared" si="0"/>
        <v>GLAMRR Q</v>
      </c>
      <c r="G64" s="147">
        <v>19</v>
      </c>
      <c r="H64" s="147"/>
      <c r="I64" s="147">
        <f t="shared" si="1"/>
        <v>19</v>
      </c>
      <c r="J64" s="147" t="s">
        <v>30</v>
      </c>
      <c r="K64" s="123">
        <v>46221</v>
      </c>
      <c r="L64" s="123">
        <f t="shared" ca="1" si="2"/>
        <v>46106</v>
      </c>
      <c r="M64" s="145">
        <v>36</v>
      </c>
      <c r="N64" s="150">
        <f t="shared" ca="1" si="3"/>
        <v>3.8333333333333335</v>
      </c>
      <c r="O64" s="151">
        <f t="shared" ca="1" si="4"/>
        <v>0.10648148148148148</v>
      </c>
      <c r="P64" s="152"/>
      <c r="Q64" s="153"/>
      <c r="R64" s="144" t="s">
        <v>670</v>
      </c>
    </row>
    <row r="65" spans="1:18" ht="24.95" customHeight="1">
      <c r="A65" s="8" t="s">
        <v>78</v>
      </c>
      <c r="B65" s="8" t="s">
        <v>85</v>
      </c>
      <c r="C65" s="8" t="s">
        <v>75</v>
      </c>
      <c r="D65" s="145">
        <v>8809491946185</v>
      </c>
      <c r="E65" s="146" t="s">
        <v>9</v>
      </c>
      <c r="F65" s="134" t="str">
        <f t="shared" ref="F65:F128" si="5">IF(ISNUMBER(SEARCH("gilaa",E65)),"GILAA",
IF(ISNUMBER(SEARCH("GLAMRR Q",E65)),"GLAMRR Q",
IF(ISNUMBER(SEARCH("BAD PEACH",E65)),"BAD PEACH",
IF(ISNUMBER(SEARCH("VEGICK",E65)),"VEGICK",
IF(ISNUMBER(SEARCH("DE MEMORIA",E65)),"DE MEMORIA",
IF(ISNUMBER(SEARCH("MUDE",E65)),"MUDE",
IF(ISNUMBER(SEARCH("daoida",E65)),"DAOIDA",IF(ISNUMBER(SEARCH("MEDIFORCELL",E65)),"MEDIFORCELL",IF(ISNUMBER(SEARCH("PLU",E65)),"PLU","")))))))))</f>
        <v>GLAMRR Q</v>
      </c>
      <c r="G65" s="147">
        <v>33</v>
      </c>
      <c r="H65" s="147"/>
      <c r="I65" s="147">
        <f t="shared" si="1"/>
        <v>33</v>
      </c>
      <c r="J65" s="147" t="s">
        <v>28</v>
      </c>
      <c r="K65" s="123">
        <v>46221</v>
      </c>
      <c r="L65" s="123">
        <f t="shared" ca="1" si="2"/>
        <v>46106</v>
      </c>
      <c r="M65" s="145">
        <v>36</v>
      </c>
      <c r="N65" s="150">
        <f t="shared" ca="1" si="3"/>
        <v>3.8333333333333335</v>
      </c>
      <c r="O65" s="151">
        <f t="shared" ca="1" si="4"/>
        <v>0.10648148148148148</v>
      </c>
      <c r="P65" s="152"/>
      <c r="Q65" s="153"/>
      <c r="R65" s="144" t="s">
        <v>670</v>
      </c>
    </row>
    <row r="66" spans="1:18" ht="24.95" customHeight="1">
      <c r="A66" s="8" t="s">
        <v>78</v>
      </c>
      <c r="B66" s="8" t="s">
        <v>85</v>
      </c>
      <c r="C66" s="8" t="s">
        <v>75</v>
      </c>
      <c r="D66" s="145">
        <v>8809491946222</v>
      </c>
      <c r="E66" s="146" t="s">
        <v>13</v>
      </c>
      <c r="F66" s="134" t="str">
        <f t="shared" si="5"/>
        <v>GLAMRR Q</v>
      </c>
      <c r="G66" s="147">
        <v>1</v>
      </c>
      <c r="H66" s="147"/>
      <c r="I66" s="147">
        <f t="shared" si="1"/>
        <v>1</v>
      </c>
      <c r="J66" s="147" t="s">
        <v>28</v>
      </c>
      <c r="K66" s="123">
        <v>46275</v>
      </c>
      <c r="L66" s="123">
        <f t="shared" ca="1" si="2"/>
        <v>46106</v>
      </c>
      <c r="M66" s="145">
        <v>36</v>
      </c>
      <c r="N66" s="150">
        <f t="shared" ca="1" si="3"/>
        <v>5.6333333333333337</v>
      </c>
      <c r="O66" s="151">
        <f t="shared" ref="O66:O129" ca="1" si="6">N66/M66</f>
        <v>0.1564814814814815</v>
      </c>
      <c r="P66" s="152"/>
      <c r="Q66" s="153"/>
      <c r="R66" s="144" t="s">
        <v>670</v>
      </c>
    </row>
    <row r="67" spans="1:18" ht="24.95" customHeight="1">
      <c r="A67" s="8" t="s">
        <v>78</v>
      </c>
      <c r="B67" s="8" t="s">
        <v>85</v>
      </c>
      <c r="C67" s="8" t="s">
        <v>75</v>
      </c>
      <c r="D67" s="145">
        <v>8809491946192</v>
      </c>
      <c r="E67" s="146" t="s">
        <v>10</v>
      </c>
      <c r="F67" s="134" t="str">
        <f t="shared" si="5"/>
        <v>GLAMRR Q</v>
      </c>
      <c r="G67" s="147">
        <v>2</v>
      </c>
      <c r="H67" s="147"/>
      <c r="I67" s="147">
        <f t="shared" ref="I67:I130" si="7">G67-H67</f>
        <v>2</v>
      </c>
      <c r="J67" s="147" t="s">
        <v>30</v>
      </c>
      <c r="K67" s="123">
        <v>46313</v>
      </c>
      <c r="L67" s="123">
        <f t="shared" ref="L67:L125" ca="1" si="8">TODAY()</f>
        <v>46106</v>
      </c>
      <c r="M67" s="145">
        <v>36</v>
      </c>
      <c r="N67" s="150">
        <f t="shared" ref="N67:N130" ca="1" si="9">(K67-L67)/30</f>
        <v>6.9</v>
      </c>
      <c r="O67" s="151">
        <f t="shared" ca="1" si="6"/>
        <v>0.19166666666666668</v>
      </c>
      <c r="P67" s="152"/>
      <c r="Q67" s="153"/>
      <c r="R67" s="144" t="s">
        <v>670</v>
      </c>
    </row>
    <row r="68" spans="1:18" ht="24.95" customHeight="1">
      <c r="A68" s="8" t="s">
        <v>78</v>
      </c>
      <c r="B68" s="8" t="s">
        <v>85</v>
      </c>
      <c r="C68" s="8" t="s">
        <v>75</v>
      </c>
      <c r="D68" s="145">
        <v>8809491946215</v>
      </c>
      <c r="E68" s="146" t="s">
        <v>12</v>
      </c>
      <c r="F68" s="134" t="str">
        <f t="shared" si="5"/>
        <v>GLAMRR Q</v>
      </c>
      <c r="G68" s="147">
        <v>36</v>
      </c>
      <c r="H68" s="147"/>
      <c r="I68" s="147">
        <f t="shared" si="7"/>
        <v>36</v>
      </c>
      <c r="J68" s="147" t="s">
        <v>30</v>
      </c>
      <c r="K68" s="123">
        <v>46325</v>
      </c>
      <c r="L68" s="123">
        <f t="shared" ca="1" si="8"/>
        <v>46106</v>
      </c>
      <c r="M68" s="145">
        <v>36</v>
      </c>
      <c r="N68" s="150">
        <f t="shared" ca="1" si="9"/>
        <v>7.3</v>
      </c>
      <c r="O68" s="151">
        <f t="shared" ca="1" si="6"/>
        <v>0.20277777777777778</v>
      </c>
      <c r="P68" s="152"/>
      <c r="Q68" s="153"/>
      <c r="R68" s="144" t="s">
        <v>670</v>
      </c>
    </row>
    <row r="69" spans="1:18" ht="24.95" customHeight="1">
      <c r="A69" s="8" t="s">
        <v>78</v>
      </c>
      <c r="B69" s="8" t="s">
        <v>85</v>
      </c>
      <c r="C69" s="8" t="s">
        <v>75</v>
      </c>
      <c r="D69" s="145">
        <v>8809491946215</v>
      </c>
      <c r="E69" s="146" t="s">
        <v>12</v>
      </c>
      <c r="F69" s="134" t="str">
        <f t="shared" si="5"/>
        <v>GLAMRR Q</v>
      </c>
      <c r="G69" s="147">
        <v>39</v>
      </c>
      <c r="H69" s="147"/>
      <c r="I69" s="147">
        <f t="shared" si="7"/>
        <v>39</v>
      </c>
      <c r="J69" s="147" t="s">
        <v>28</v>
      </c>
      <c r="K69" s="123">
        <v>46325</v>
      </c>
      <c r="L69" s="123">
        <f t="shared" ca="1" si="8"/>
        <v>46106</v>
      </c>
      <c r="M69" s="145">
        <v>36</v>
      </c>
      <c r="N69" s="150">
        <f t="shared" ca="1" si="9"/>
        <v>7.3</v>
      </c>
      <c r="O69" s="151">
        <f t="shared" ca="1" si="6"/>
        <v>0.20277777777777778</v>
      </c>
      <c r="P69" s="152"/>
      <c r="Q69" s="153"/>
      <c r="R69" s="144" t="s">
        <v>670</v>
      </c>
    </row>
    <row r="70" spans="1:18" ht="24.95" customHeight="1">
      <c r="A70" s="8" t="s">
        <v>78</v>
      </c>
      <c r="B70" s="8" t="s">
        <v>85</v>
      </c>
      <c r="C70" s="8" t="s">
        <v>75</v>
      </c>
      <c r="D70" s="145">
        <v>8809526841393</v>
      </c>
      <c r="E70" s="146" t="s">
        <v>19</v>
      </c>
      <c r="F70" s="134" t="str">
        <f t="shared" si="5"/>
        <v>GLAMRR Q</v>
      </c>
      <c r="G70" s="147">
        <v>1</v>
      </c>
      <c r="H70" s="147"/>
      <c r="I70" s="147">
        <f t="shared" si="7"/>
        <v>1</v>
      </c>
      <c r="J70" s="147" t="s">
        <v>28</v>
      </c>
      <c r="K70" s="123">
        <v>46325</v>
      </c>
      <c r="L70" s="123">
        <f t="shared" ca="1" si="8"/>
        <v>46106</v>
      </c>
      <c r="M70" s="145">
        <v>36</v>
      </c>
      <c r="N70" s="150">
        <f t="shared" ca="1" si="9"/>
        <v>7.3</v>
      </c>
      <c r="O70" s="151">
        <f t="shared" ca="1" si="6"/>
        <v>0.20277777777777778</v>
      </c>
      <c r="P70" s="152"/>
      <c r="Q70" s="153"/>
      <c r="R70" s="144" t="s">
        <v>670</v>
      </c>
    </row>
    <row r="71" spans="1:18" ht="24.95" customHeight="1">
      <c r="A71" s="8" t="s">
        <v>78</v>
      </c>
      <c r="B71" s="8" t="s">
        <v>85</v>
      </c>
      <c r="C71" s="8" t="s">
        <v>75</v>
      </c>
      <c r="D71" s="145">
        <v>8809783326817</v>
      </c>
      <c r="E71" s="146" t="s">
        <v>22</v>
      </c>
      <c r="F71" s="134" t="str">
        <f t="shared" si="5"/>
        <v>GLAMRR Q</v>
      </c>
      <c r="G71" s="147">
        <v>34</v>
      </c>
      <c r="H71" s="147"/>
      <c r="I71" s="147">
        <f t="shared" si="7"/>
        <v>34</v>
      </c>
      <c r="J71" s="147" t="s">
        <v>30</v>
      </c>
      <c r="K71" s="123">
        <v>46328</v>
      </c>
      <c r="L71" s="123">
        <f t="shared" ca="1" si="8"/>
        <v>46106</v>
      </c>
      <c r="M71" s="145">
        <v>36</v>
      </c>
      <c r="N71" s="150">
        <f t="shared" ca="1" si="9"/>
        <v>7.4</v>
      </c>
      <c r="O71" s="151">
        <f t="shared" ca="1" si="6"/>
        <v>0.20555555555555557</v>
      </c>
      <c r="P71" s="152"/>
      <c r="Q71" s="153"/>
      <c r="R71" s="144" t="s">
        <v>670</v>
      </c>
    </row>
    <row r="72" spans="1:18" ht="24.95" customHeight="1">
      <c r="A72" s="8" t="s">
        <v>78</v>
      </c>
      <c r="B72" s="8" t="s">
        <v>85</v>
      </c>
      <c r="C72" s="8" t="s">
        <v>75</v>
      </c>
      <c r="D72" s="145">
        <v>8809783326817</v>
      </c>
      <c r="E72" s="146" t="s">
        <v>22</v>
      </c>
      <c r="F72" s="134" t="str">
        <f t="shared" si="5"/>
        <v>GLAMRR Q</v>
      </c>
      <c r="G72" s="147">
        <v>12</v>
      </c>
      <c r="H72" s="147"/>
      <c r="I72" s="147">
        <f t="shared" si="7"/>
        <v>12</v>
      </c>
      <c r="J72" s="147" t="s">
        <v>28</v>
      </c>
      <c r="K72" s="123">
        <v>46328</v>
      </c>
      <c r="L72" s="123">
        <f t="shared" ca="1" si="8"/>
        <v>46106</v>
      </c>
      <c r="M72" s="145">
        <v>36</v>
      </c>
      <c r="N72" s="150">
        <f t="shared" ca="1" si="9"/>
        <v>7.4</v>
      </c>
      <c r="O72" s="151">
        <f t="shared" ca="1" si="6"/>
        <v>0.20555555555555557</v>
      </c>
      <c r="P72" s="152"/>
      <c r="Q72" s="153"/>
      <c r="R72" s="144" t="s">
        <v>670</v>
      </c>
    </row>
    <row r="73" spans="1:18" ht="24.95" customHeight="1">
      <c r="A73" s="8" t="s">
        <v>78</v>
      </c>
      <c r="B73" s="8" t="s">
        <v>85</v>
      </c>
      <c r="C73" s="8" t="s">
        <v>75</v>
      </c>
      <c r="D73" s="145">
        <v>8809491946185</v>
      </c>
      <c r="E73" s="146" t="s">
        <v>9</v>
      </c>
      <c r="F73" s="134" t="str">
        <f t="shared" si="5"/>
        <v>GLAMRR Q</v>
      </c>
      <c r="G73" s="147">
        <v>10</v>
      </c>
      <c r="H73" s="147"/>
      <c r="I73" s="147">
        <f t="shared" si="7"/>
        <v>10</v>
      </c>
      <c r="J73" s="147" t="s">
        <v>28</v>
      </c>
      <c r="K73" s="123">
        <v>46349</v>
      </c>
      <c r="L73" s="123">
        <f t="shared" ca="1" si="8"/>
        <v>46106</v>
      </c>
      <c r="M73" s="145">
        <v>36</v>
      </c>
      <c r="N73" s="150">
        <f t="shared" ca="1" si="9"/>
        <v>8.1</v>
      </c>
      <c r="O73" s="151">
        <f t="shared" ca="1" si="6"/>
        <v>0.22499999999999998</v>
      </c>
      <c r="P73" s="152"/>
      <c r="Q73" s="153"/>
      <c r="R73" s="144" t="s">
        <v>670</v>
      </c>
    </row>
    <row r="74" spans="1:18" ht="24.95" customHeight="1">
      <c r="A74" s="8" t="s">
        <v>78</v>
      </c>
      <c r="B74" s="8" t="s">
        <v>85</v>
      </c>
      <c r="C74" s="8" t="s">
        <v>75</v>
      </c>
      <c r="D74" s="145">
        <v>8809491946185</v>
      </c>
      <c r="E74" s="146" t="s">
        <v>9</v>
      </c>
      <c r="F74" s="134" t="str">
        <f t="shared" si="5"/>
        <v>GLAMRR Q</v>
      </c>
      <c r="G74" s="147">
        <v>29</v>
      </c>
      <c r="H74" s="147"/>
      <c r="I74" s="147">
        <f t="shared" si="7"/>
        <v>29</v>
      </c>
      <c r="J74" s="147" t="s">
        <v>30</v>
      </c>
      <c r="K74" s="123">
        <v>46349</v>
      </c>
      <c r="L74" s="123">
        <f t="shared" ca="1" si="8"/>
        <v>46106</v>
      </c>
      <c r="M74" s="145">
        <v>36</v>
      </c>
      <c r="N74" s="150">
        <f t="shared" ca="1" si="9"/>
        <v>8.1</v>
      </c>
      <c r="O74" s="151">
        <f t="shared" ca="1" si="6"/>
        <v>0.22499999999999998</v>
      </c>
      <c r="P74" s="148"/>
      <c r="Q74" s="149"/>
      <c r="R74" s="144" t="s">
        <v>670</v>
      </c>
    </row>
    <row r="75" spans="1:18" ht="24.95" customHeight="1">
      <c r="A75" s="8" t="s">
        <v>78</v>
      </c>
      <c r="B75" s="8" t="s">
        <v>85</v>
      </c>
      <c r="C75" s="8" t="s">
        <v>75</v>
      </c>
      <c r="D75" s="145">
        <v>8809491946185</v>
      </c>
      <c r="E75" s="146" t="s">
        <v>9</v>
      </c>
      <c r="F75" s="134" t="str">
        <f t="shared" si="5"/>
        <v>GLAMRR Q</v>
      </c>
      <c r="G75" s="147">
        <v>1</v>
      </c>
      <c r="H75" s="147"/>
      <c r="I75" s="147">
        <f t="shared" si="7"/>
        <v>1</v>
      </c>
      <c r="J75" s="147" t="s">
        <v>30</v>
      </c>
      <c r="K75" s="123">
        <v>46349</v>
      </c>
      <c r="L75" s="123">
        <f t="shared" ca="1" si="8"/>
        <v>46106</v>
      </c>
      <c r="M75" s="145">
        <v>36</v>
      </c>
      <c r="N75" s="150">
        <f t="shared" ca="1" si="9"/>
        <v>8.1</v>
      </c>
      <c r="O75" s="151">
        <f t="shared" ca="1" si="6"/>
        <v>0.22499999999999998</v>
      </c>
      <c r="P75" s="148"/>
      <c r="Q75" s="149"/>
      <c r="R75" s="144" t="s">
        <v>670</v>
      </c>
    </row>
    <row r="76" spans="1:18" ht="24.95" customHeight="1">
      <c r="A76" s="8" t="s">
        <v>78</v>
      </c>
      <c r="B76" s="8" t="s">
        <v>85</v>
      </c>
      <c r="C76" s="8" t="s">
        <v>75</v>
      </c>
      <c r="D76" s="145">
        <v>8809491946208</v>
      </c>
      <c r="E76" s="146" t="s">
        <v>11</v>
      </c>
      <c r="F76" s="134" t="str">
        <f t="shared" si="5"/>
        <v>GLAMRR Q</v>
      </c>
      <c r="G76" s="147">
        <v>34</v>
      </c>
      <c r="H76" s="147"/>
      <c r="I76" s="147">
        <f t="shared" si="7"/>
        <v>34</v>
      </c>
      <c r="J76" s="147" t="s">
        <v>28</v>
      </c>
      <c r="K76" s="123">
        <v>46349</v>
      </c>
      <c r="L76" s="123">
        <f t="shared" ca="1" si="8"/>
        <v>46106</v>
      </c>
      <c r="M76" s="145">
        <v>36</v>
      </c>
      <c r="N76" s="150">
        <f t="shared" ca="1" si="9"/>
        <v>8.1</v>
      </c>
      <c r="O76" s="151">
        <f t="shared" ca="1" si="6"/>
        <v>0.22499999999999998</v>
      </c>
      <c r="P76" s="148"/>
      <c r="Q76" s="149"/>
      <c r="R76" s="144" t="s">
        <v>670</v>
      </c>
    </row>
    <row r="77" spans="1:18" ht="24.95" customHeight="1">
      <c r="A77" s="8" t="s">
        <v>78</v>
      </c>
      <c r="B77" s="8" t="s">
        <v>85</v>
      </c>
      <c r="C77" s="8" t="s">
        <v>75</v>
      </c>
      <c r="D77" s="145">
        <v>8809491946208</v>
      </c>
      <c r="E77" s="146" t="s">
        <v>11</v>
      </c>
      <c r="F77" s="134" t="str">
        <f t="shared" si="5"/>
        <v>GLAMRR Q</v>
      </c>
      <c r="G77" s="147">
        <v>22</v>
      </c>
      <c r="H77" s="147"/>
      <c r="I77" s="147">
        <f t="shared" si="7"/>
        <v>22</v>
      </c>
      <c r="J77" s="147" t="s">
        <v>30</v>
      </c>
      <c r="K77" s="123">
        <v>46349</v>
      </c>
      <c r="L77" s="123">
        <f t="shared" ca="1" si="8"/>
        <v>46106</v>
      </c>
      <c r="M77" s="145">
        <v>36</v>
      </c>
      <c r="N77" s="150">
        <f t="shared" ca="1" si="9"/>
        <v>8.1</v>
      </c>
      <c r="O77" s="151">
        <f t="shared" ca="1" si="6"/>
        <v>0.22499999999999998</v>
      </c>
      <c r="P77" s="148"/>
      <c r="Q77" s="149"/>
      <c r="R77" s="144" t="s">
        <v>670</v>
      </c>
    </row>
    <row r="78" spans="1:18" ht="24.95" customHeight="1">
      <c r="A78" s="8" t="s">
        <v>78</v>
      </c>
      <c r="B78" s="8" t="s">
        <v>85</v>
      </c>
      <c r="C78" s="8" t="s">
        <v>75</v>
      </c>
      <c r="D78" s="145">
        <v>8809491946253</v>
      </c>
      <c r="E78" s="146" t="s">
        <v>16</v>
      </c>
      <c r="F78" s="134" t="str">
        <f t="shared" si="5"/>
        <v>GLAMRR Q</v>
      </c>
      <c r="G78" s="147">
        <v>11</v>
      </c>
      <c r="H78" s="147"/>
      <c r="I78" s="147">
        <f t="shared" si="7"/>
        <v>11</v>
      </c>
      <c r="J78" s="147" t="s">
        <v>30</v>
      </c>
      <c r="K78" s="123">
        <v>46352</v>
      </c>
      <c r="L78" s="123">
        <f t="shared" ca="1" si="8"/>
        <v>46106</v>
      </c>
      <c r="M78" s="145">
        <v>36</v>
      </c>
      <c r="N78" s="150">
        <f t="shared" ca="1" si="9"/>
        <v>8.1999999999999993</v>
      </c>
      <c r="O78" s="151">
        <f t="shared" ca="1" si="6"/>
        <v>0.22777777777777775</v>
      </c>
      <c r="P78" s="148"/>
      <c r="Q78" s="149"/>
      <c r="R78" s="144" t="s">
        <v>670</v>
      </c>
    </row>
    <row r="79" spans="1:18" ht="24.95" customHeight="1">
      <c r="A79" s="8" t="s">
        <v>78</v>
      </c>
      <c r="B79" s="8" t="s">
        <v>85</v>
      </c>
      <c r="C79" s="8" t="s">
        <v>75</v>
      </c>
      <c r="D79" s="145">
        <v>8809491946253</v>
      </c>
      <c r="E79" s="146" t="s">
        <v>16</v>
      </c>
      <c r="F79" s="134" t="str">
        <f t="shared" si="5"/>
        <v>GLAMRR Q</v>
      </c>
      <c r="G79" s="147">
        <v>8</v>
      </c>
      <c r="H79" s="147"/>
      <c r="I79" s="147">
        <f t="shared" si="7"/>
        <v>8</v>
      </c>
      <c r="J79" s="147" t="s">
        <v>30</v>
      </c>
      <c r="K79" s="123">
        <v>46352</v>
      </c>
      <c r="L79" s="123">
        <f t="shared" ca="1" si="8"/>
        <v>46106</v>
      </c>
      <c r="M79" s="145">
        <v>36</v>
      </c>
      <c r="N79" s="150">
        <f t="shared" ca="1" si="9"/>
        <v>8.1999999999999993</v>
      </c>
      <c r="O79" s="151">
        <f t="shared" ca="1" si="6"/>
        <v>0.22777777777777775</v>
      </c>
      <c r="P79" s="148"/>
      <c r="Q79" s="149"/>
      <c r="R79" s="144" t="s">
        <v>670</v>
      </c>
    </row>
    <row r="80" spans="1:18" ht="24.95" customHeight="1">
      <c r="A80" s="8" t="s">
        <v>78</v>
      </c>
      <c r="B80" s="8" t="s">
        <v>85</v>
      </c>
      <c r="C80" s="8" t="s">
        <v>75</v>
      </c>
      <c r="D80" s="145">
        <v>8809491946253</v>
      </c>
      <c r="E80" s="146" t="s">
        <v>16</v>
      </c>
      <c r="F80" s="134" t="str">
        <f t="shared" si="5"/>
        <v>GLAMRR Q</v>
      </c>
      <c r="G80" s="147">
        <v>4</v>
      </c>
      <c r="H80" s="147"/>
      <c r="I80" s="147">
        <f t="shared" si="7"/>
        <v>4</v>
      </c>
      <c r="J80" s="147" t="s">
        <v>28</v>
      </c>
      <c r="K80" s="123">
        <v>46352</v>
      </c>
      <c r="L80" s="123">
        <f t="shared" ca="1" si="8"/>
        <v>46106</v>
      </c>
      <c r="M80" s="145">
        <v>36</v>
      </c>
      <c r="N80" s="150">
        <f t="shared" ca="1" si="9"/>
        <v>8.1999999999999993</v>
      </c>
      <c r="O80" s="151">
        <f t="shared" ca="1" si="6"/>
        <v>0.22777777777777775</v>
      </c>
      <c r="P80" s="148"/>
      <c r="Q80" s="149"/>
      <c r="R80" s="144" t="s">
        <v>670</v>
      </c>
    </row>
    <row r="81" spans="1:18" ht="24.95" customHeight="1">
      <c r="A81" s="8" t="s">
        <v>78</v>
      </c>
      <c r="B81" s="8" t="s">
        <v>85</v>
      </c>
      <c r="C81" s="8" t="s">
        <v>75</v>
      </c>
      <c r="D81" s="145">
        <v>8809491946260</v>
      </c>
      <c r="E81" s="146" t="s">
        <v>17</v>
      </c>
      <c r="F81" s="134" t="str">
        <f t="shared" si="5"/>
        <v>GLAMRR Q</v>
      </c>
      <c r="G81" s="147">
        <v>1</v>
      </c>
      <c r="H81" s="147"/>
      <c r="I81" s="147">
        <f t="shared" si="7"/>
        <v>1</v>
      </c>
      <c r="J81" s="147" t="s">
        <v>30</v>
      </c>
      <c r="K81" s="123">
        <v>46352</v>
      </c>
      <c r="L81" s="123">
        <f t="shared" ca="1" si="8"/>
        <v>46106</v>
      </c>
      <c r="M81" s="145">
        <v>36</v>
      </c>
      <c r="N81" s="150">
        <f t="shared" ca="1" si="9"/>
        <v>8.1999999999999993</v>
      </c>
      <c r="O81" s="151">
        <f t="shared" ca="1" si="6"/>
        <v>0.22777777777777775</v>
      </c>
      <c r="P81" s="148"/>
      <c r="Q81" s="149"/>
      <c r="R81" s="144" t="s">
        <v>670</v>
      </c>
    </row>
    <row r="82" spans="1:18" ht="24.95" customHeight="1">
      <c r="A82" s="8" t="s">
        <v>78</v>
      </c>
      <c r="B82" s="8" t="s">
        <v>85</v>
      </c>
      <c r="C82" s="8" t="s">
        <v>75</v>
      </c>
      <c r="D82" s="145">
        <v>8809526841409</v>
      </c>
      <c r="E82" s="146" t="s">
        <v>20</v>
      </c>
      <c r="F82" s="134" t="str">
        <f t="shared" si="5"/>
        <v>GLAMRR Q</v>
      </c>
      <c r="G82" s="147">
        <v>1</v>
      </c>
      <c r="H82" s="147"/>
      <c r="I82" s="147">
        <f t="shared" si="7"/>
        <v>1</v>
      </c>
      <c r="J82" s="147" t="s">
        <v>28</v>
      </c>
      <c r="K82" s="123">
        <v>46355</v>
      </c>
      <c r="L82" s="123">
        <f t="shared" ca="1" si="8"/>
        <v>46106</v>
      </c>
      <c r="M82" s="145">
        <v>36</v>
      </c>
      <c r="N82" s="150">
        <f t="shared" ca="1" si="9"/>
        <v>8.3000000000000007</v>
      </c>
      <c r="O82" s="151">
        <f t="shared" ca="1" si="6"/>
        <v>0.23055555555555557</v>
      </c>
      <c r="P82" s="148"/>
      <c r="Q82" s="149"/>
      <c r="R82" s="144" t="s">
        <v>670</v>
      </c>
    </row>
    <row r="83" spans="1:18" ht="24.95" customHeight="1">
      <c r="A83" s="8" t="s">
        <v>78</v>
      </c>
      <c r="B83" s="8" t="s">
        <v>85</v>
      </c>
      <c r="C83" s="8" t="s">
        <v>75</v>
      </c>
      <c r="D83" s="145">
        <v>8809491946246</v>
      </c>
      <c r="E83" s="146" t="s">
        <v>15</v>
      </c>
      <c r="F83" s="134" t="str">
        <f t="shared" si="5"/>
        <v>GLAMRR Q</v>
      </c>
      <c r="G83" s="147">
        <v>78</v>
      </c>
      <c r="H83" s="147"/>
      <c r="I83" s="147">
        <f t="shared" si="7"/>
        <v>78</v>
      </c>
      <c r="J83" s="147" t="s">
        <v>30</v>
      </c>
      <c r="K83" s="123">
        <v>46368</v>
      </c>
      <c r="L83" s="123">
        <f t="shared" ca="1" si="8"/>
        <v>46106</v>
      </c>
      <c r="M83" s="145">
        <v>36</v>
      </c>
      <c r="N83" s="150">
        <f t="shared" ca="1" si="9"/>
        <v>8.7333333333333325</v>
      </c>
      <c r="O83" s="151">
        <f t="shared" ca="1" si="6"/>
        <v>0.24259259259259258</v>
      </c>
      <c r="P83" s="148"/>
      <c r="Q83" s="149"/>
      <c r="R83" s="144" t="s">
        <v>670</v>
      </c>
    </row>
    <row r="84" spans="1:18" ht="24.95" customHeight="1">
      <c r="A84" s="8" t="s">
        <v>78</v>
      </c>
      <c r="B84" s="8" t="s">
        <v>85</v>
      </c>
      <c r="C84" s="8" t="s">
        <v>75</v>
      </c>
      <c r="D84" s="145">
        <v>8809491946246</v>
      </c>
      <c r="E84" s="146" t="s">
        <v>15</v>
      </c>
      <c r="F84" s="134" t="str">
        <f t="shared" si="5"/>
        <v>GLAMRR Q</v>
      </c>
      <c r="G84" s="147">
        <v>38</v>
      </c>
      <c r="H84" s="147"/>
      <c r="I84" s="147">
        <f t="shared" si="7"/>
        <v>38</v>
      </c>
      <c r="J84" s="147" t="s">
        <v>28</v>
      </c>
      <c r="K84" s="123">
        <v>46368</v>
      </c>
      <c r="L84" s="123">
        <f t="shared" ca="1" si="8"/>
        <v>46106</v>
      </c>
      <c r="M84" s="145">
        <v>36</v>
      </c>
      <c r="N84" s="150">
        <f t="shared" ca="1" si="9"/>
        <v>8.7333333333333325</v>
      </c>
      <c r="O84" s="151">
        <f t="shared" ca="1" si="6"/>
        <v>0.24259259259259258</v>
      </c>
      <c r="P84" s="148"/>
      <c r="Q84" s="149"/>
      <c r="R84" s="144" t="s">
        <v>670</v>
      </c>
    </row>
    <row r="85" spans="1:18" ht="24.95" customHeight="1">
      <c r="A85" s="8" t="s">
        <v>78</v>
      </c>
      <c r="B85" s="8" t="s">
        <v>85</v>
      </c>
      <c r="C85" s="8" t="s">
        <v>75</v>
      </c>
      <c r="D85" s="145">
        <v>8809491946246</v>
      </c>
      <c r="E85" s="146" t="s">
        <v>15</v>
      </c>
      <c r="F85" s="134" t="str">
        <f t="shared" si="5"/>
        <v>GLAMRR Q</v>
      </c>
      <c r="G85" s="147">
        <v>2</v>
      </c>
      <c r="H85" s="147"/>
      <c r="I85" s="147">
        <f t="shared" si="7"/>
        <v>2</v>
      </c>
      <c r="J85" s="147" t="s">
        <v>30</v>
      </c>
      <c r="K85" s="123">
        <v>46368</v>
      </c>
      <c r="L85" s="123">
        <f t="shared" ca="1" si="8"/>
        <v>46106</v>
      </c>
      <c r="M85" s="145">
        <v>36</v>
      </c>
      <c r="N85" s="150">
        <f t="shared" ca="1" si="9"/>
        <v>8.7333333333333325</v>
      </c>
      <c r="O85" s="151">
        <f t="shared" ca="1" si="6"/>
        <v>0.24259259259259258</v>
      </c>
      <c r="P85" s="148"/>
      <c r="Q85" s="149"/>
      <c r="R85" s="144" t="s">
        <v>670</v>
      </c>
    </row>
    <row r="86" spans="1:18" ht="24.95" customHeight="1">
      <c r="A86" s="8" t="s">
        <v>78</v>
      </c>
      <c r="B86" s="8" t="s">
        <v>85</v>
      </c>
      <c r="C86" s="8" t="s">
        <v>75</v>
      </c>
      <c r="D86" s="145">
        <v>8809526841393</v>
      </c>
      <c r="E86" s="146" t="s">
        <v>19</v>
      </c>
      <c r="F86" s="134" t="str">
        <f t="shared" si="5"/>
        <v>GLAMRR Q</v>
      </c>
      <c r="G86" s="147">
        <v>1</v>
      </c>
      <c r="H86" s="147"/>
      <c r="I86" s="147">
        <f t="shared" si="7"/>
        <v>1</v>
      </c>
      <c r="J86" s="147" t="s">
        <v>30</v>
      </c>
      <c r="K86" s="123">
        <v>46452</v>
      </c>
      <c r="L86" s="123">
        <f t="shared" ca="1" si="8"/>
        <v>46106</v>
      </c>
      <c r="M86" s="145">
        <v>36</v>
      </c>
      <c r="N86" s="150">
        <f t="shared" ca="1" si="9"/>
        <v>11.533333333333333</v>
      </c>
      <c r="O86" s="151">
        <f t="shared" ca="1" si="6"/>
        <v>0.32037037037037036</v>
      </c>
      <c r="P86" s="148"/>
      <c r="Q86" s="149"/>
      <c r="R86" s="144" t="s">
        <v>670</v>
      </c>
    </row>
    <row r="87" spans="1:18" ht="24.95" customHeight="1">
      <c r="A87" s="8" t="s">
        <v>78</v>
      </c>
      <c r="B87" s="8" t="s">
        <v>85</v>
      </c>
      <c r="C87" s="8" t="s">
        <v>75</v>
      </c>
      <c r="D87" s="145">
        <v>8809491946239</v>
      </c>
      <c r="E87" s="146" t="s">
        <v>14</v>
      </c>
      <c r="F87" s="134" t="str">
        <f t="shared" si="5"/>
        <v>GLAMRR Q</v>
      </c>
      <c r="G87" s="147">
        <v>1</v>
      </c>
      <c r="H87" s="147"/>
      <c r="I87" s="147">
        <f t="shared" si="7"/>
        <v>1</v>
      </c>
      <c r="J87" s="147" t="s">
        <v>30</v>
      </c>
      <c r="K87" s="123">
        <v>46472</v>
      </c>
      <c r="L87" s="123">
        <f t="shared" ca="1" si="8"/>
        <v>46106</v>
      </c>
      <c r="M87" s="145">
        <v>36</v>
      </c>
      <c r="N87" s="150">
        <f t="shared" ca="1" si="9"/>
        <v>12.2</v>
      </c>
      <c r="O87" s="151">
        <f t="shared" ca="1" si="6"/>
        <v>0.33888888888888885</v>
      </c>
      <c r="P87" s="148"/>
      <c r="Q87" s="149"/>
      <c r="R87" s="144" t="s">
        <v>670</v>
      </c>
    </row>
    <row r="88" spans="1:18" ht="24.95" customHeight="1">
      <c r="A88" s="8" t="s">
        <v>78</v>
      </c>
      <c r="B88" s="8" t="s">
        <v>85</v>
      </c>
      <c r="C88" s="8" t="s">
        <v>74</v>
      </c>
      <c r="D88" s="2" t="s">
        <v>36</v>
      </c>
      <c r="E88" s="3" t="s">
        <v>37</v>
      </c>
      <c r="F88" s="134" t="str">
        <f t="shared" si="5"/>
        <v>GILAA</v>
      </c>
      <c r="G88" s="2">
        <v>2</v>
      </c>
      <c r="H88" s="2"/>
      <c r="I88" s="147">
        <f t="shared" si="7"/>
        <v>2</v>
      </c>
      <c r="J88" s="4" t="s">
        <v>30</v>
      </c>
      <c r="K88" s="5">
        <v>46268</v>
      </c>
      <c r="L88" s="123">
        <f t="shared" ca="1" si="8"/>
        <v>46106</v>
      </c>
      <c r="M88" s="145">
        <v>36</v>
      </c>
      <c r="N88" s="150">
        <f t="shared" ca="1" si="9"/>
        <v>5.4</v>
      </c>
      <c r="O88" s="151">
        <f t="shared" ca="1" si="6"/>
        <v>0.15000000000000002</v>
      </c>
      <c r="P88" s="8"/>
      <c r="Q88" s="129" t="s">
        <v>656</v>
      </c>
      <c r="R88" s="144" t="s">
        <v>670</v>
      </c>
    </row>
    <row r="89" spans="1:18" ht="24.95" customHeight="1">
      <c r="A89" s="8" t="s">
        <v>78</v>
      </c>
      <c r="B89" s="8" t="s">
        <v>85</v>
      </c>
      <c r="C89" s="8" t="s">
        <v>74</v>
      </c>
      <c r="D89" s="2" t="s">
        <v>38</v>
      </c>
      <c r="E89" s="3" t="s">
        <v>6</v>
      </c>
      <c r="F89" s="134" t="str">
        <f t="shared" si="5"/>
        <v>GLAMRR Q</v>
      </c>
      <c r="G89" s="2">
        <v>6</v>
      </c>
      <c r="H89" s="2"/>
      <c r="I89" s="147">
        <f t="shared" si="7"/>
        <v>6</v>
      </c>
      <c r="J89" s="4" t="s">
        <v>39</v>
      </c>
      <c r="K89" s="5">
        <v>46052</v>
      </c>
      <c r="L89" s="123">
        <f t="shared" ca="1" si="8"/>
        <v>46106</v>
      </c>
      <c r="M89" s="145">
        <v>36</v>
      </c>
      <c r="N89" s="150">
        <f t="shared" ca="1" si="9"/>
        <v>-1.8</v>
      </c>
      <c r="O89" s="151">
        <f t="shared" ca="1" si="6"/>
        <v>-0.05</v>
      </c>
      <c r="P89" s="8"/>
      <c r="Q89" s="129"/>
      <c r="R89" s="144" t="s">
        <v>670</v>
      </c>
    </row>
    <row r="90" spans="1:18" ht="24.95" customHeight="1">
      <c r="A90" s="8" t="s">
        <v>78</v>
      </c>
      <c r="B90" s="8" t="s">
        <v>85</v>
      </c>
      <c r="C90" s="8" t="s">
        <v>74</v>
      </c>
      <c r="D90" s="2" t="s">
        <v>38</v>
      </c>
      <c r="E90" s="3" t="s">
        <v>6</v>
      </c>
      <c r="F90" s="134" t="str">
        <f t="shared" si="5"/>
        <v>GLAMRR Q</v>
      </c>
      <c r="G90" s="2">
        <f>29+7</f>
        <v>36</v>
      </c>
      <c r="H90" s="2"/>
      <c r="I90" s="147">
        <f t="shared" si="7"/>
        <v>36</v>
      </c>
      <c r="J90" s="4" t="s">
        <v>39</v>
      </c>
      <c r="K90" s="5">
        <v>46222</v>
      </c>
      <c r="L90" s="123">
        <f t="shared" ca="1" si="8"/>
        <v>46106</v>
      </c>
      <c r="M90" s="145">
        <v>36</v>
      </c>
      <c r="N90" s="150">
        <f t="shared" ca="1" si="9"/>
        <v>3.8666666666666667</v>
      </c>
      <c r="O90" s="151">
        <f t="shared" ca="1" si="6"/>
        <v>0.10740740740740741</v>
      </c>
      <c r="P90" s="8"/>
      <c r="Q90" s="129"/>
      <c r="R90" s="144" t="s">
        <v>670</v>
      </c>
    </row>
    <row r="91" spans="1:18" ht="24.95" customHeight="1">
      <c r="A91" s="8" t="s">
        <v>78</v>
      </c>
      <c r="B91" s="8" t="s">
        <v>85</v>
      </c>
      <c r="C91" s="8" t="s">
        <v>74</v>
      </c>
      <c r="D91" s="2" t="s">
        <v>38</v>
      </c>
      <c r="E91" s="3" t="s">
        <v>6</v>
      </c>
      <c r="F91" s="134" t="str">
        <f t="shared" si="5"/>
        <v>GLAMRR Q</v>
      </c>
      <c r="G91" s="2">
        <v>5</v>
      </c>
      <c r="H91" s="2"/>
      <c r="I91" s="147">
        <f t="shared" si="7"/>
        <v>5</v>
      </c>
      <c r="J91" s="4" t="s">
        <v>39</v>
      </c>
      <c r="K91" s="5">
        <v>46349</v>
      </c>
      <c r="L91" s="123">
        <f t="shared" ca="1" si="8"/>
        <v>46106</v>
      </c>
      <c r="M91" s="145">
        <v>36</v>
      </c>
      <c r="N91" s="150">
        <f t="shared" ca="1" si="9"/>
        <v>8.1</v>
      </c>
      <c r="O91" s="151">
        <f t="shared" ca="1" si="6"/>
        <v>0.22499999999999998</v>
      </c>
      <c r="P91" s="8"/>
      <c r="Q91" s="129"/>
      <c r="R91" s="144" t="s">
        <v>670</v>
      </c>
    </row>
    <row r="92" spans="1:18" ht="24.95" customHeight="1">
      <c r="A92" s="8" t="s">
        <v>78</v>
      </c>
      <c r="B92" s="8" t="s">
        <v>85</v>
      </c>
      <c r="C92" s="8" t="s">
        <v>74</v>
      </c>
      <c r="D92" s="2" t="s">
        <v>38</v>
      </c>
      <c r="E92" s="3" t="s">
        <v>6</v>
      </c>
      <c r="F92" s="134" t="str">
        <f t="shared" si="5"/>
        <v>GLAMRR Q</v>
      </c>
      <c r="G92" s="2">
        <v>100</v>
      </c>
      <c r="H92" s="2">
        <v>1</v>
      </c>
      <c r="I92" s="147">
        <f t="shared" si="7"/>
        <v>99</v>
      </c>
      <c r="J92" s="4" t="s">
        <v>39</v>
      </c>
      <c r="K92" s="5">
        <v>46640</v>
      </c>
      <c r="L92" s="123">
        <f t="shared" ca="1" si="8"/>
        <v>46106</v>
      </c>
      <c r="M92" s="145">
        <v>36</v>
      </c>
      <c r="N92" s="150">
        <f t="shared" ca="1" si="9"/>
        <v>17.8</v>
      </c>
      <c r="O92" s="151">
        <f t="shared" ca="1" si="6"/>
        <v>0.49444444444444446</v>
      </c>
      <c r="P92" s="8"/>
      <c r="Q92" s="131" t="s">
        <v>643</v>
      </c>
      <c r="R92" s="144" t="s">
        <v>670</v>
      </c>
    </row>
    <row r="93" spans="1:18" ht="24.95" customHeight="1">
      <c r="A93" s="8" t="s">
        <v>78</v>
      </c>
      <c r="B93" s="8" t="s">
        <v>85</v>
      </c>
      <c r="C93" s="8" t="s">
        <v>74</v>
      </c>
      <c r="D93" s="2" t="s">
        <v>40</v>
      </c>
      <c r="E93" s="3" t="s">
        <v>7</v>
      </c>
      <c r="F93" s="134" t="str">
        <f t="shared" si="5"/>
        <v>GLAMRR Q</v>
      </c>
      <c r="G93" s="2">
        <v>11</v>
      </c>
      <c r="H93" s="2"/>
      <c r="I93" s="147">
        <f t="shared" si="7"/>
        <v>11</v>
      </c>
      <c r="J93" s="4" t="s">
        <v>39</v>
      </c>
      <c r="K93" s="5">
        <v>46061</v>
      </c>
      <c r="L93" s="123">
        <f t="shared" ca="1" si="8"/>
        <v>46106</v>
      </c>
      <c r="M93" s="145">
        <v>36</v>
      </c>
      <c r="N93" s="150">
        <f t="shared" ca="1" si="9"/>
        <v>-1.5</v>
      </c>
      <c r="O93" s="151">
        <f t="shared" ca="1" si="6"/>
        <v>-4.1666666666666664E-2</v>
      </c>
      <c r="P93" s="8"/>
      <c r="Q93" s="129"/>
      <c r="R93" s="144" t="s">
        <v>670</v>
      </c>
    </row>
    <row r="94" spans="1:18" ht="24.95" customHeight="1">
      <c r="A94" s="8" t="s">
        <v>78</v>
      </c>
      <c r="B94" s="8" t="s">
        <v>85</v>
      </c>
      <c r="C94" s="8" t="s">
        <v>74</v>
      </c>
      <c r="D94" s="2" t="s">
        <v>40</v>
      </c>
      <c r="E94" s="3" t="s">
        <v>7</v>
      </c>
      <c r="F94" s="134" t="str">
        <f t="shared" si="5"/>
        <v>GLAMRR Q</v>
      </c>
      <c r="G94" s="2">
        <v>8</v>
      </c>
      <c r="H94" s="2"/>
      <c r="I94" s="147">
        <f t="shared" si="7"/>
        <v>8</v>
      </c>
      <c r="J94" s="4" t="s">
        <v>39</v>
      </c>
      <c r="K94" s="5">
        <v>46201</v>
      </c>
      <c r="L94" s="123">
        <f t="shared" ca="1" si="8"/>
        <v>46106</v>
      </c>
      <c r="M94" s="145">
        <v>36</v>
      </c>
      <c r="N94" s="150">
        <f t="shared" ca="1" si="9"/>
        <v>3.1666666666666665</v>
      </c>
      <c r="O94" s="151">
        <f t="shared" ca="1" si="6"/>
        <v>8.7962962962962965E-2</v>
      </c>
      <c r="P94" s="8"/>
      <c r="Q94" s="129"/>
      <c r="R94" s="144" t="s">
        <v>670</v>
      </c>
    </row>
    <row r="95" spans="1:18" ht="24.95" customHeight="1">
      <c r="A95" s="8" t="s">
        <v>78</v>
      </c>
      <c r="B95" s="8" t="s">
        <v>85</v>
      </c>
      <c r="C95" s="8" t="s">
        <v>74</v>
      </c>
      <c r="D95" s="2" t="s">
        <v>41</v>
      </c>
      <c r="E95" s="3" t="s">
        <v>8</v>
      </c>
      <c r="F95" s="134" t="str">
        <f t="shared" si="5"/>
        <v>GLAMRR Q</v>
      </c>
      <c r="G95" s="2">
        <v>7</v>
      </c>
      <c r="H95" s="2"/>
      <c r="I95" s="147">
        <f t="shared" si="7"/>
        <v>7</v>
      </c>
      <c r="J95" s="4" t="s">
        <v>39</v>
      </c>
      <c r="K95" s="5">
        <v>46061</v>
      </c>
      <c r="L95" s="123">
        <f t="shared" ca="1" si="8"/>
        <v>46106</v>
      </c>
      <c r="M95" s="145">
        <v>36</v>
      </c>
      <c r="N95" s="150">
        <f t="shared" ca="1" si="9"/>
        <v>-1.5</v>
      </c>
      <c r="O95" s="151">
        <f t="shared" ca="1" si="6"/>
        <v>-4.1666666666666664E-2</v>
      </c>
      <c r="P95" s="8"/>
      <c r="Q95" s="129"/>
      <c r="R95" s="144" t="s">
        <v>670</v>
      </c>
    </row>
    <row r="96" spans="1:18" ht="24.95" customHeight="1">
      <c r="A96" s="8" t="s">
        <v>78</v>
      </c>
      <c r="B96" s="8" t="s">
        <v>85</v>
      </c>
      <c r="C96" s="8" t="s">
        <v>74</v>
      </c>
      <c r="D96" s="2" t="s">
        <v>42</v>
      </c>
      <c r="E96" s="3" t="s">
        <v>9</v>
      </c>
      <c r="F96" s="134" t="str">
        <f t="shared" si="5"/>
        <v>GLAMRR Q</v>
      </c>
      <c r="G96" s="2">
        <v>6</v>
      </c>
      <c r="H96" s="2"/>
      <c r="I96" s="147">
        <f t="shared" si="7"/>
        <v>6</v>
      </c>
      <c r="J96" s="4" t="s">
        <v>39</v>
      </c>
      <c r="K96" s="5">
        <v>46061</v>
      </c>
      <c r="L96" s="123">
        <f t="shared" ca="1" si="8"/>
        <v>46106</v>
      </c>
      <c r="M96" s="145">
        <v>36</v>
      </c>
      <c r="N96" s="150">
        <f t="shared" ca="1" si="9"/>
        <v>-1.5</v>
      </c>
      <c r="O96" s="151">
        <f t="shared" ca="1" si="6"/>
        <v>-4.1666666666666664E-2</v>
      </c>
      <c r="P96" s="8"/>
      <c r="Q96" s="129"/>
      <c r="R96" s="144" t="s">
        <v>670</v>
      </c>
    </row>
    <row r="97" spans="1:18" ht="24.95" customHeight="1">
      <c r="A97" s="8" t="s">
        <v>78</v>
      </c>
      <c r="B97" s="8" t="s">
        <v>85</v>
      </c>
      <c r="C97" s="8" t="s">
        <v>74</v>
      </c>
      <c r="D97" s="2" t="s">
        <v>42</v>
      </c>
      <c r="E97" s="3" t="s">
        <v>9</v>
      </c>
      <c r="F97" s="134" t="str">
        <f t="shared" si="5"/>
        <v>GLAMRR Q</v>
      </c>
      <c r="G97" s="2">
        <v>16</v>
      </c>
      <c r="H97" s="2"/>
      <c r="I97" s="147">
        <f t="shared" si="7"/>
        <v>16</v>
      </c>
      <c r="J97" s="4" t="s">
        <v>39</v>
      </c>
      <c r="K97" s="5">
        <v>46221</v>
      </c>
      <c r="L97" s="123">
        <f t="shared" ca="1" si="8"/>
        <v>46106</v>
      </c>
      <c r="M97" s="145">
        <v>36</v>
      </c>
      <c r="N97" s="150">
        <f t="shared" ca="1" si="9"/>
        <v>3.8333333333333335</v>
      </c>
      <c r="O97" s="151">
        <f t="shared" ca="1" si="6"/>
        <v>0.10648148148148148</v>
      </c>
      <c r="P97" s="8"/>
      <c r="Q97" s="129"/>
      <c r="R97" s="144" t="s">
        <v>670</v>
      </c>
    </row>
    <row r="98" spans="1:18" ht="24.95" customHeight="1">
      <c r="A98" s="8" t="s">
        <v>78</v>
      </c>
      <c r="B98" s="8" t="s">
        <v>85</v>
      </c>
      <c r="C98" s="8" t="s">
        <v>74</v>
      </c>
      <c r="D98" s="2" t="s">
        <v>42</v>
      </c>
      <c r="E98" s="3" t="s">
        <v>9</v>
      </c>
      <c r="F98" s="134" t="str">
        <f t="shared" si="5"/>
        <v>GLAMRR Q</v>
      </c>
      <c r="G98" s="2">
        <v>7</v>
      </c>
      <c r="H98" s="2"/>
      <c r="I98" s="147">
        <f t="shared" si="7"/>
        <v>7</v>
      </c>
      <c r="J98" s="4" t="s">
        <v>39</v>
      </c>
      <c r="K98" s="5">
        <v>46349</v>
      </c>
      <c r="L98" s="123">
        <f t="shared" ca="1" si="8"/>
        <v>46106</v>
      </c>
      <c r="M98" s="145">
        <v>36</v>
      </c>
      <c r="N98" s="150">
        <f t="shared" ca="1" si="9"/>
        <v>8.1</v>
      </c>
      <c r="O98" s="151">
        <f t="shared" ca="1" si="6"/>
        <v>0.22499999999999998</v>
      </c>
      <c r="P98" s="8"/>
      <c r="Q98" s="129"/>
      <c r="R98" s="144" t="s">
        <v>670</v>
      </c>
    </row>
    <row r="99" spans="1:18" ht="24.95" customHeight="1">
      <c r="A99" s="8" t="s">
        <v>78</v>
      </c>
      <c r="B99" s="8" t="s">
        <v>85</v>
      </c>
      <c r="C99" s="8" t="s">
        <v>74</v>
      </c>
      <c r="D99" s="2" t="s">
        <v>43</v>
      </c>
      <c r="E99" s="3" t="s">
        <v>10</v>
      </c>
      <c r="F99" s="134" t="str">
        <f t="shared" si="5"/>
        <v>GLAMRR Q</v>
      </c>
      <c r="G99" s="2">
        <v>1</v>
      </c>
      <c r="H99" s="2"/>
      <c r="I99" s="147">
        <f t="shared" si="7"/>
        <v>1</v>
      </c>
      <c r="J99" s="4" t="s">
        <v>39</v>
      </c>
      <c r="K99" s="5">
        <v>46061</v>
      </c>
      <c r="L99" s="123">
        <f t="shared" ca="1" si="8"/>
        <v>46106</v>
      </c>
      <c r="M99" s="145">
        <v>36</v>
      </c>
      <c r="N99" s="150">
        <f t="shared" ca="1" si="9"/>
        <v>-1.5</v>
      </c>
      <c r="O99" s="151">
        <f t="shared" ca="1" si="6"/>
        <v>-4.1666666666666664E-2</v>
      </c>
      <c r="P99" s="8"/>
      <c r="Q99" s="129"/>
      <c r="R99" s="144" t="s">
        <v>670</v>
      </c>
    </row>
    <row r="100" spans="1:18" ht="24.95" customHeight="1">
      <c r="A100" s="8" t="s">
        <v>78</v>
      </c>
      <c r="B100" s="8" t="s">
        <v>85</v>
      </c>
      <c r="C100" s="8" t="s">
        <v>74</v>
      </c>
      <c r="D100" s="2" t="s">
        <v>43</v>
      </c>
      <c r="E100" s="3" t="s">
        <v>10</v>
      </c>
      <c r="F100" s="134" t="str">
        <f t="shared" si="5"/>
        <v>GLAMRR Q</v>
      </c>
      <c r="G100" s="2">
        <v>64</v>
      </c>
      <c r="H100" s="2"/>
      <c r="I100" s="147">
        <f t="shared" si="7"/>
        <v>64</v>
      </c>
      <c r="J100" s="4" t="s">
        <v>39</v>
      </c>
      <c r="K100" s="5">
        <v>46313</v>
      </c>
      <c r="L100" s="123">
        <f t="shared" ca="1" si="8"/>
        <v>46106</v>
      </c>
      <c r="M100" s="145">
        <v>36</v>
      </c>
      <c r="N100" s="150">
        <f t="shared" ca="1" si="9"/>
        <v>6.9</v>
      </c>
      <c r="O100" s="151">
        <f t="shared" ca="1" si="6"/>
        <v>0.19166666666666668</v>
      </c>
      <c r="P100" s="8"/>
      <c r="Q100" s="129"/>
      <c r="R100" s="144" t="s">
        <v>670</v>
      </c>
    </row>
    <row r="101" spans="1:18" ht="24.95" customHeight="1">
      <c r="A101" s="8" t="s">
        <v>78</v>
      </c>
      <c r="B101" s="8" t="s">
        <v>85</v>
      </c>
      <c r="C101" s="8" t="s">
        <v>74</v>
      </c>
      <c r="D101" s="2" t="s">
        <v>43</v>
      </c>
      <c r="E101" s="3" t="s">
        <v>10</v>
      </c>
      <c r="F101" s="134" t="str">
        <f t="shared" si="5"/>
        <v>GLAMRR Q</v>
      </c>
      <c r="G101" s="2">
        <v>24</v>
      </c>
      <c r="H101" s="2"/>
      <c r="I101" s="147">
        <f t="shared" si="7"/>
        <v>24</v>
      </c>
      <c r="J101" s="4" t="s">
        <v>30</v>
      </c>
      <c r="K101" s="5">
        <v>46313</v>
      </c>
      <c r="L101" s="123">
        <f t="shared" ca="1" si="8"/>
        <v>46106</v>
      </c>
      <c r="M101" s="145">
        <v>36</v>
      </c>
      <c r="N101" s="150">
        <f t="shared" ca="1" si="9"/>
        <v>6.9</v>
      </c>
      <c r="O101" s="151">
        <f t="shared" ca="1" si="6"/>
        <v>0.19166666666666668</v>
      </c>
      <c r="P101" s="8"/>
      <c r="Q101" s="129"/>
      <c r="R101" s="144" t="s">
        <v>670</v>
      </c>
    </row>
    <row r="102" spans="1:18" ht="24.95" customHeight="1">
      <c r="A102" s="8" t="s">
        <v>78</v>
      </c>
      <c r="B102" s="8" t="s">
        <v>85</v>
      </c>
      <c r="C102" s="8" t="s">
        <v>74</v>
      </c>
      <c r="D102" s="2" t="s">
        <v>43</v>
      </c>
      <c r="E102" s="3" t="s">
        <v>10</v>
      </c>
      <c r="F102" s="134" t="str">
        <f t="shared" si="5"/>
        <v>GLAMRR Q</v>
      </c>
      <c r="G102" s="2">
        <v>37</v>
      </c>
      <c r="H102" s="2">
        <v>37</v>
      </c>
      <c r="I102" s="147">
        <f t="shared" si="7"/>
        <v>0</v>
      </c>
      <c r="J102" s="4" t="s">
        <v>30</v>
      </c>
      <c r="K102" s="5">
        <v>46472</v>
      </c>
      <c r="L102" s="123">
        <f t="shared" ca="1" si="8"/>
        <v>46106</v>
      </c>
      <c r="M102" s="145">
        <v>36</v>
      </c>
      <c r="N102" s="150">
        <f t="shared" ca="1" si="9"/>
        <v>12.2</v>
      </c>
      <c r="O102" s="151">
        <f t="shared" ca="1" si="6"/>
        <v>0.33888888888888885</v>
      </c>
      <c r="P102" s="8"/>
      <c r="Q102" s="131" t="s">
        <v>644</v>
      </c>
      <c r="R102" s="144" t="s">
        <v>670</v>
      </c>
    </row>
    <row r="103" spans="1:18" ht="24.95" customHeight="1">
      <c r="A103" s="8" t="s">
        <v>78</v>
      </c>
      <c r="B103" s="8" t="s">
        <v>85</v>
      </c>
      <c r="C103" s="8" t="s">
        <v>74</v>
      </c>
      <c r="D103" s="2" t="s">
        <v>43</v>
      </c>
      <c r="E103" s="3" t="s">
        <v>10</v>
      </c>
      <c r="F103" s="134" t="str">
        <f t="shared" si="5"/>
        <v>GLAMRR Q</v>
      </c>
      <c r="G103" s="2">
        <v>50</v>
      </c>
      <c r="H103" s="2">
        <f>10+1</f>
        <v>11</v>
      </c>
      <c r="I103" s="147">
        <f t="shared" si="7"/>
        <v>39</v>
      </c>
      <c r="J103" s="4" t="s">
        <v>39</v>
      </c>
      <c r="K103" s="5">
        <v>46472</v>
      </c>
      <c r="L103" s="123">
        <f t="shared" ca="1" si="8"/>
        <v>46106</v>
      </c>
      <c r="M103" s="145">
        <v>36</v>
      </c>
      <c r="N103" s="150">
        <f t="shared" ca="1" si="9"/>
        <v>12.2</v>
      </c>
      <c r="O103" s="151">
        <f t="shared" ca="1" si="6"/>
        <v>0.33888888888888885</v>
      </c>
      <c r="P103" s="8"/>
      <c r="Q103" s="131" t="s">
        <v>644</v>
      </c>
      <c r="R103" s="144" t="s">
        <v>670</v>
      </c>
    </row>
    <row r="104" spans="1:18" ht="24.95" customHeight="1">
      <c r="A104" s="8" t="s">
        <v>78</v>
      </c>
      <c r="B104" s="8" t="s">
        <v>85</v>
      </c>
      <c r="C104" s="8" t="s">
        <v>74</v>
      </c>
      <c r="D104" s="2" t="s">
        <v>44</v>
      </c>
      <c r="E104" s="3" t="s">
        <v>11</v>
      </c>
      <c r="F104" s="134" t="str">
        <f t="shared" si="5"/>
        <v>GLAMRR Q</v>
      </c>
      <c r="G104" s="2">
        <v>2</v>
      </c>
      <c r="H104" s="2"/>
      <c r="I104" s="147">
        <f t="shared" si="7"/>
        <v>2</v>
      </c>
      <c r="J104" s="4" t="s">
        <v>39</v>
      </c>
      <c r="K104" s="5">
        <v>46201</v>
      </c>
      <c r="L104" s="123">
        <f t="shared" ca="1" si="8"/>
        <v>46106</v>
      </c>
      <c r="M104" s="145">
        <v>36</v>
      </c>
      <c r="N104" s="150">
        <f t="shared" ca="1" si="9"/>
        <v>3.1666666666666665</v>
      </c>
      <c r="O104" s="151">
        <f t="shared" ca="1" si="6"/>
        <v>8.7962962962962965E-2</v>
      </c>
      <c r="P104" s="8"/>
      <c r="Q104" s="129"/>
      <c r="R104" s="144" t="s">
        <v>670</v>
      </c>
    </row>
    <row r="105" spans="1:18" ht="24.95" customHeight="1">
      <c r="A105" s="8" t="s">
        <v>78</v>
      </c>
      <c r="B105" s="8" t="s">
        <v>85</v>
      </c>
      <c r="C105" s="8" t="s">
        <v>74</v>
      </c>
      <c r="D105" s="2" t="s">
        <v>44</v>
      </c>
      <c r="E105" s="3" t="s">
        <v>11</v>
      </c>
      <c r="F105" s="134" t="str">
        <f t="shared" si="5"/>
        <v>GLAMRR Q</v>
      </c>
      <c r="G105" s="2">
        <v>19</v>
      </c>
      <c r="H105" s="2"/>
      <c r="I105" s="147">
        <f t="shared" si="7"/>
        <v>19</v>
      </c>
      <c r="J105" s="4" t="s">
        <v>39</v>
      </c>
      <c r="K105" s="5">
        <v>46349</v>
      </c>
      <c r="L105" s="123">
        <f t="shared" ca="1" si="8"/>
        <v>46106</v>
      </c>
      <c r="M105" s="145">
        <v>36</v>
      </c>
      <c r="N105" s="150">
        <f t="shared" ca="1" si="9"/>
        <v>8.1</v>
      </c>
      <c r="O105" s="151">
        <f t="shared" ca="1" si="6"/>
        <v>0.22499999999999998</v>
      </c>
      <c r="P105" s="8"/>
      <c r="Q105" s="129"/>
      <c r="R105" s="144" t="s">
        <v>670</v>
      </c>
    </row>
    <row r="106" spans="1:18" ht="24.95" customHeight="1">
      <c r="A106" s="8" t="s">
        <v>78</v>
      </c>
      <c r="B106" s="8" t="s">
        <v>85</v>
      </c>
      <c r="C106" s="8" t="s">
        <v>74</v>
      </c>
      <c r="D106" s="2" t="s">
        <v>45</v>
      </c>
      <c r="E106" s="3" t="s">
        <v>12</v>
      </c>
      <c r="F106" s="134" t="str">
        <f t="shared" si="5"/>
        <v>GLAMRR Q</v>
      </c>
      <c r="G106" s="2">
        <v>9</v>
      </c>
      <c r="H106" s="2"/>
      <c r="I106" s="147">
        <f t="shared" si="7"/>
        <v>9</v>
      </c>
      <c r="J106" s="4" t="s">
        <v>39</v>
      </c>
      <c r="K106" s="5">
        <v>46062</v>
      </c>
      <c r="L106" s="123">
        <f t="shared" ca="1" si="8"/>
        <v>46106</v>
      </c>
      <c r="M106" s="145">
        <v>36</v>
      </c>
      <c r="N106" s="150">
        <f t="shared" ca="1" si="9"/>
        <v>-1.4666666666666666</v>
      </c>
      <c r="O106" s="151">
        <f t="shared" ca="1" si="6"/>
        <v>-4.0740740740740737E-2</v>
      </c>
      <c r="P106" s="8"/>
      <c r="Q106" s="129"/>
      <c r="R106" s="144" t="s">
        <v>670</v>
      </c>
    </row>
    <row r="107" spans="1:18" ht="24.95" customHeight="1">
      <c r="A107" s="8" t="s">
        <v>78</v>
      </c>
      <c r="B107" s="8" t="s">
        <v>85</v>
      </c>
      <c r="C107" s="8" t="s">
        <v>74</v>
      </c>
      <c r="D107" s="2" t="s">
        <v>45</v>
      </c>
      <c r="E107" s="3" t="s">
        <v>12</v>
      </c>
      <c r="F107" s="134" t="str">
        <f t="shared" si="5"/>
        <v>GLAMRR Q</v>
      </c>
      <c r="G107" s="2">
        <v>12</v>
      </c>
      <c r="H107" s="2"/>
      <c r="I107" s="147">
        <f t="shared" si="7"/>
        <v>12</v>
      </c>
      <c r="J107" s="4" t="s">
        <v>39</v>
      </c>
      <c r="K107" s="5">
        <v>46325</v>
      </c>
      <c r="L107" s="123">
        <f t="shared" ca="1" si="8"/>
        <v>46106</v>
      </c>
      <c r="M107" s="145">
        <v>36</v>
      </c>
      <c r="N107" s="150">
        <f t="shared" ca="1" si="9"/>
        <v>7.3</v>
      </c>
      <c r="O107" s="151">
        <f t="shared" ca="1" si="6"/>
        <v>0.20277777777777778</v>
      </c>
      <c r="P107" s="8"/>
      <c r="Q107" s="129"/>
      <c r="R107" s="144" t="s">
        <v>670</v>
      </c>
    </row>
    <row r="108" spans="1:18" ht="24.95" customHeight="1">
      <c r="A108" s="8" t="s">
        <v>78</v>
      </c>
      <c r="B108" s="8" t="s">
        <v>85</v>
      </c>
      <c r="C108" s="8" t="s">
        <v>74</v>
      </c>
      <c r="D108" s="2" t="s">
        <v>46</v>
      </c>
      <c r="E108" s="3" t="s">
        <v>13</v>
      </c>
      <c r="F108" s="134" t="str">
        <f t="shared" si="5"/>
        <v>GLAMRR Q</v>
      </c>
      <c r="G108" s="2">
        <v>3</v>
      </c>
      <c r="H108" s="2"/>
      <c r="I108" s="147">
        <f t="shared" si="7"/>
        <v>3</v>
      </c>
      <c r="J108" s="4" t="s">
        <v>39</v>
      </c>
      <c r="K108" s="5">
        <v>46062</v>
      </c>
      <c r="L108" s="123">
        <f t="shared" ca="1" si="8"/>
        <v>46106</v>
      </c>
      <c r="M108" s="145">
        <v>36</v>
      </c>
      <c r="N108" s="150">
        <f t="shared" ca="1" si="9"/>
        <v>-1.4666666666666666</v>
      </c>
      <c r="O108" s="151">
        <f t="shared" ca="1" si="6"/>
        <v>-4.0740740740740737E-2</v>
      </c>
      <c r="P108" s="8"/>
      <c r="Q108" s="129"/>
      <c r="R108" s="144" t="s">
        <v>670</v>
      </c>
    </row>
    <row r="109" spans="1:18" ht="24.95" customHeight="1">
      <c r="A109" s="8" t="s">
        <v>78</v>
      </c>
      <c r="B109" s="8" t="s">
        <v>85</v>
      </c>
      <c r="C109" s="8" t="s">
        <v>74</v>
      </c>
      <c r="D109" s="2" t="s">
        <v>46</v>
      </c>
      <c r="E109" s="3" t="s">
        <v>13</v>
      </c>
      <c r="F109" s="134" t="str">
        <f t="shared" si="5"/>
        <v>GLAMRR Q</v>
      </c>
      <c r="G109" s="2">
        <v>54</v>
      </c>
      <c r="H109" s="2"/>
      <c r="I109" s="147">
        <f t="shared" si="7"/>
        <v>54</v>
      </c>
      <c r="J109" s="4" t="s">
        <v>30</v>
      </c>
      <c r="K109" s="5">
        <v>46107</v>
      </c>
      <c r="L109" s="123">
        <f t="shared" ca="1" si="8"/>
        <v>46106</v>
      </c>
      <c r="M109" s="145">
        <v>36</v>
      </c>
      <c r="N109" s="150">
        <f t="shared" ca="1" si="9"/>
        <v>3.3333333333333333E-2</v>
      </c>
      <c r="O109" s="151">
        <f t="shared" ca="1" si="6"/>
        <v>9.2592592592592596E-4</v>
      </c>
      <c r="P109" s="8"/>
      <c r="Q109" s="129"/>
      <c r="R109" s="144" t="s">
        <v>670</v>
      </c>
    </row>
    <row r="110" spans="1:18" ht="24.95" customHeight="1">
      <c r="A110" s="8" t="s">
        <v>78</v>
      </c>
      <c r="B110" s="8" t="s">
        <v>85</v>
      </c>
      <c r="C110" s="8" t="s">
        <v>74</v>
      </c>
      <c r="D110" s="2" t="s">
        <v>46</v>
      </c>
      <c r="E110" s="3" t="s">
        <v>13</v>
      </c>
      <c r="F110" s="134" t="str">
        <f t="shared" si="5"/>
        <v>GLAMRR Q</v>
      </c>
      <c r="G110" s="2">
        <v>49</v>
      </c>
      <c r="H110" s="2"/>
      <c r="I110" s="147">
        <f t="shared" si="7"/>
        <v>49</v>
      </c>
      <c r="J110" s="4" t="s">
        <v>39</v>
      </c>
      <c r="K110" s="5">
        <v>46107</v>
      </c>
      <c r="L110" s="123">
        <f t="shared" ca="1" si="8"/>
        <v>46106</v>
      </c>
      <c r="M110" s="145">
        <v>36</v>
      </c>
      <c r="N110" s="150">
        <f t="shared" ca="1" si="9"/>
        <v>3.3333333333333333E-2</v>
      </c>
      <c r="O110" s="151">
        <f t="shared" ca="1" si="6"/>
        <v>9.2592592592592596E-4</v>
      </c>
      <c r="P110" s="8"/>
      <c r="Q110" s="129"/>
      <c r="R110" s="144" t="s">
        <v>670</v>
      </c>
    </row>
    <row r="111" spans="1:18" ht="24.95" customHeight="1">
      <c r="A111" s="8" t="s">
        <v>78</v>
      </c>
      <c r="B111" s="8" t="s">
        <v>85</v>
      </c>
      <c r="C111" s="8" t="s">
        <v>74</v>
      </c>
      <c r="D111" s="2" t="s">
        <v>46</v>
      </c>
      <c r="E111" s="3" t="s">
        <v>13</v>
      </c>
      <c r="F111" s="134" t="str">
        <f t="shared" si="5"/>
        <v>GLAMRR Q</v>
      </c>
      <c r="G111" s="2">
        <v>1</v>
      </c>
      <c r="H111" s="2"/>
      <c r="I111" s="147">
        <f t="shared" si="7"/>
        <v>1</v>
      </c>
      <c r="J111" s="4" t="s">
        <v>47</v>
      </c>
      <c r="K111" s="5">
        <v>46107</v>
      </c>
      <c r="L111" s="123">
        <f t="shared" ca="1" si="8"/>
        <v>46106</v>
      </c>
      <c r="M111" s="145">
        <v>36</v>
      </c>
      <c r="N111" s="150">
        <f t="shared" ca="1" si="9"/>
        <v>3.3333333333333333E-2</v>
      </c>
      <c r="O111" s="151">
        <f t="shared" ca="1" si="6"/>
        <v>9.2592592592592596E-4</v>
      </c>
      <c r="P111" s="8"/>
      <c r="Q111" s="129"/>
      <c r="R111" s="144" t="s">
        <v>670</v>
      </c>
    </row>
    <row r="112" spans="1:18" ht="24.95" customHeight="1">
      <c r="A112" s="8" t="s">
        <v>78</v>
      </c>
      <c r="B112" s="8" t="s">
        <v>85</v>
      </c>
      <c r="C112" s="8" t="s">
        <v>74</v>
      </c>
      <c r="D112" s="2" t="s">
        <v>46</v>
      </c>
      <c r="E112" s="3" t="s">
        <v>13</v>
      </c>
      <c r="F112" s="134" t="str">
        <f t="shared" si="5"/>
        <v>GLAMRR Q</v>
      </c>
      <c r="G112" s="2">
        <v>44</v>
      </c>
      <c r="H112" s="2"/>
      <c r="I112" s="147">
        <f t="shared" si="7"/>
        <v>44</v>
      </c>
      <c r="J112" s="4" t="s">
        <v>39</v>
      </c>
      <c r="K112" s="5">
        <v>46275</v>
      </c>
      <c r="L112" s="123">
        <f t="shared" ca="1" si="8"/>
        <v>46106</v>
      </c>
      <c r="M112" s="145">
        <v>36</v>
      </c>
      <c r="N112" s="150">
        <f t="shared" ca="1" si="9"/>
        <v>5.6333333333333337</v>
      </c>
      <c r="O112" s="151">
        <f t="shared" ca="1" si="6"/>
        <v>0.1564814814814815</v>
      </c>
      <c r="P112" s="8"/>
      <c r="Q112" s="129"/>
      <c r="R112" s="144" t="s">
        <v>670</v>
      </c>
    </row>
    <row r="113" spans="1:18" ht="24.95" customHeight="1">
      <c r="A113" s="8" t="s">
        <v>78</v>
      </c>
      <c r="B113" s="8" t="s">
        <v>85</v>
      </c>
      <c r="C113" s="8" t="s">
        <v>74</v>
      </c>
      <c r="D113" s="2" t="s">
        <v>46</v>
      </c>
      <c r="E113" s="3" t="s">
        <v>13</v>
      </c>
      <c r="F113" s="134" t="str">
        <f t="shared" si="5"/>
        <v>GLAMRR Q</v>
      </c>
      <c r="G113" s="2">
        <v>13</v>
      </c>
      <c r="H113" s="2"/>
      <c r="I113" s="147">
        <f t="shared" si="7"/>
        <v>13</v>
      </c>
      <c r="J113" s="4" t="s">
        <v>30</v>
      </c>
      <c r="K113" s="5">
        <v>46275</v>
      </c>
      <c r="L113" s="123">
        <f t="shared" ca="1" si="8"/>
        <v>46106</v>
      </c>
      <c r="M113" s="145">
        <v>36</v>
      </c>
      <c r="N113" s="150">
        <f t="shared" ca="1" si="9"/>
        <v>5.6333333333333337</v>
      </c>
      <c r="O113" s="151">
        <f t="shared" ca="1" si="6"/>
        <v>0.1564814814814815</v>
      </c>
      <c r="P113" s="8"/>
      <c r="Q113" s="129"/>
      <c r="R113" s="144" t="s">
        <v>670</v>
      </c>
    </row>
    <row r="114" spans="1:18" ht="24.95" customHeight="1">
      <c r="A114" s="8" t="s">
        <v>78</v>
      </c>
      <c r="B114" s="8" t="s">
        <v>85</v>
      </c>
      <c r="C114" s="8" t="s">
        <v>74</v>
      </c>
      <c r="D114" s="2" t="s">
        <v>48</v>
      </c>
      <c r="E114" s="3" t="s">
        <v>14</v>
      </c>
      <c r="F114" s="134" t="str">
        <f t="shared" si="5"/>
        <v>GLAMRR Q</v>
      </c>
      <c r="G114" s="2">
        <v>7</v>
      </c>
      <c r="H114" s="2"/>
      <c r="I114" s="147">
        <f t="shared" si="7"/>
        <v>7</v>
      </c>
      <c r="J114" s="4" t="s">
        <v>39</v>
      </c>
      <c r="K114" s="5">
        <v>46062</v>
      </c>
      <c r="L114" s="123">
        <f t="shared" ca="1" si="8"/>
        <v>46106</v>
      </c>
      <c r="M114" s="145">
        <v>36</v>
      </c>
      <c r="N114" s="150">
        <f t="shared" ca="1" si="9"/>
        <v>-1.4666666666666666</v>
      </c>
      <c r="O114" s="151">
        <f t="shared" ca="1" si="6"/>
        <v>-4.0740740740740737E-2</v>
      </c>
      <c r="P114" s="8"/>
      <c r="Q114" s="129"/>
      <c r="R114" s="144" t="s">
        <v>670</v>
      </c>
    </row>
    <row r="115" spans="1:18" ht="24.95" customHeight="1">
      <c r="A115" s="8" t="s">
        <v>78</v>
      </c>
      <c r="B115" s="8" t="s">
        <v>85</v>
      </c>
      <c r="C115" s="8" t="s">
        <v>74</v>
      </c>
      <c r="D115" s="2" t="s">
        <v>48</v>
      </c>
      <c r="E115" s="3" t="s">
        <v>14</v>
      </c>
      <c r="F115" s="134" t="str">
        <f t="shared" si="5"/>
        <v>GLAMRR Q</v>
      </c>
      <c r="G115" s="2">
        <v>44</v>
      </c>
      <c r="H115" s="2"/>
      <c r="I115" s="147">
        <f t="shared" si="7"/>
        <v>44</v>
      </c>
      <c r="J115" s="4" t="s">
        <v>39</v>
      </c>
      <c r="K115" s="5">
        <v>46200</v>
      </c>
      <c r="L115" s="123">
        <f t="shared" ca="1" si="8"/>
        <v>46106</v>
      </c>
      <c r="M115" s="145">
        <v>36</v>
      </c>
      <c r="N115" s="150">
        <f t="shared" ca="1" si="9"/>
        <v>3.1333333333333333</v>
      </c>
      <c r="O115" s="151">
        <f t="shared" ca="1" si="6"/>
        <v>8.7037037037037038E-2</v>
      </c>
      <c r="P115" s="8"/>
      <c r="Q115" s="129"/>
      <c r="R115" s="144" t="s">
        <v>670</v>
      </c>
    </row>
    <row r="116" spans="1:18" ht="24.95" customHeight="1">
      <c r="A116" s="8" t="s">
        <v>78</v>
      </c>
      <c r="B116" s="8" t="s">
        <v>85</v>
      </c>
      <c r="C116" s="8" t="s">
        <v>74</v>
      </c>
      <c r="D116" s="2" t="s">
        <v>48</v>
      </c>
      <c r="E116" s="3" t="s">
        <v>14</v>
      </c>
      <c r="F116" s="134" t="str">
        <f t="shared" si="5"/>
        <v>GLAMRR Q</v>
      </c>
      <c r="G116" s="2">
        <v>14</v>
      </c>
      <c r="H116" s="2">
        <v>1</v>
      </c>
      <c r="I116" s="147">
        <f t="shared" si="7"/>
        <v>13</v>
      </c>
      <c r="J116" s="4" t="s">
        <v>30</v>
      </c>
      <c r="K116" s="5">
        <v>46200</v>
      </c>
      <c r="L116" s="123">
        <f t="shared" ca="1" si="8"/>
        <v>46106</v>
      </c>
      <c r="M116" s="145">
        <v>36</v>
      </c>
      <c r="N116" s="150">
        <f t="shared" ca="1" si="9"/>
        <v>3.1333333333333333</v>
      </c>
      <c r="O116" s="151">
        <f t="shared" ca="1" si="6"/>
        <v>8.7037037037037038E-2</v>
      </c>
      <c r="P116" s="8"/>
      <c r="Q116" s="131" t="s">
        <v>643</v>
      </c>
      <c r="R116" s="144" t="s">
        <v>670</v>
      </c>
    </row>
    <row r="117" spans="1:18" ht="24.95" customHeight="1">
      <c r="A117" s="8" t="s">
        <v>78</v>
      </c>
      <c r="B117" s="8" t="s">
        <v>85</v>
      </c>
      <c r="C117" s="8" t="s">
        <v>74</v>
      </c>
      <c r="D117" s="2" t="s">
        <v>48</v>
      </c>
      <c r="E117" s="3" t="s">
        <v>14</v>
      </c>
      <c r="F117" s="134" t="str">
        <f t="shared" si="5"/>
        <v>GLAMRR Q</v>
      </c>
      <c r="G117" s="2">
        <v>69</v>
      </c>
      <c r="H117" s="2">
        <v>69</v>
      </c>
      <c r="I117" s="147">
        <f t="shared" si="7"/>
        <v>0</v>
      </c>
      <c r="J117" s="4" t="s">
        <v>30</v>
      </c>
      <c r="K117" s="5">
        <v>46472</v>
      </c>
      <c r="L117" s="123">
        <f t="shared" ca="1" si="8"/>
        <v>46106</v>
      </c>
      <c r="M117" s="145">
        <v>36</v>
      </c>
      <c r="N117" s="150">
        <f t="shared" ca="1" si="9"/>
        <v>12.2</v>
      </c>
      <c r="O117" s="151">
        <f t="shared" ca="1" si="6"/>
        <v>0.33888888888888885</v>
      </c>
      <c r="P117" s="8"/>
      <c r="Q117" s="131" t="s">
        <v>644</v>
      </c>
      <c r="R117" s="144" t="s">
        <v>670</v>
      </c>
    </row>
    <row r="118" spans="1:18" ht="24.95" customHeight="1">
      <c r="A118" s="8" t="s">
        <v>78</v>
      </c>
      <c r="B118" s="8" t="s">
        <v>85</v>
      </c>
      <c r="C118" s="8" t="s">
        <v>74</v>
      </c>
      <c r="D118" s="2" t="s">
        <v>48</v>
      </c>
      <c r="E118" s="3" t="s">
        <v>14</v>
      </c>
      <c r="F118" s="134" t="str">
        <f t="shared" si="5"/>
        <v>GLAMRR Q</v>
      </c>
      <c r="G118" s="2">
        <v>2</v>
      </c>
      <c r="H118" s="2"/>
      <c r="I118" s="147">
        <f t="shared" si="7"/>
        <v>2</v>
      </c>
      <c r="J118" s="4" t="s">
        <v>47</v>
      </c>
      <c r="K118" s="5">
        <v>46472</v>
      </c>
      <c r="L118" s="123">
        <f t="shared" ca="1" si="8"/>
        <v>46106</v>
      </c>
      <c r="M118" s="145">
        <v>36</v>
      </c>
      <c r="N118" s="150">
        <f t="shared" ca="1" si="9"/>
        <v>12.2</v>
      </c>
      <c r="O118" s="151">
        <f t="shared" ca="1" si="6"/>
        <v>0.33888888888888885</v>
      </c>
      <c r="P118" s="8"/>
      <c r="Q118" s="129"/>
      <c r="R118" s="144" t="s">
        <v>670</v>
      </c>
    </row>
    <row r="119" spans="1:18" ht="24.95" customHeight="1">
      <c r="A119" s="8" t="s">
        <v>78</v>
      </c>
      <c r="B119" s="8" t="s">
        <v>85</v>
      </c>
      <c r="C119" s="8" t="s">
        <v>74</v>
      </c>
      <c r="D119" s="2" t="s">
        <v>48</v>
      </c>
      <c r="E119" s="3" t="s">
        <v>14</v>
      </c>
      <c r="F119" s="134" t="str">
        <f t="shared" si="5"/>
        <v>GLAMRR Q</v>
      </c>
      <c r="G119" s="2">
        <v>38</v>
      </c>
      <c r="H119" s="2"/>
      <c r="I119" s="147">
        <f t="shared" si="7"/>
        <v>38</v>
      </c>
      <c r="J119" s="4" t="s">
        <v>39</v>
      </c>
      <c r="K119" s="5">
        <v>46472</v>
      </c>
      <c r="L119" s="123">
        <f t="shared" ca="1" si="8"/>
        <v>46106</v>
      </c>
      <c r="M119" s="145">
        <v>36</v>
      </c>
      <c r="N119" s="150">
        <f t="shared" ca="1" si="9"/>
        <v>12.2</v>
      </c>
      <c r="O119" s="151">
        <f t="shared" ca="1" si="6"/>
        <v>0.33888888888888885</v>
      </c>
      <c r="P119" s="8"/>
      <c r="Q119" s="129"/>
      <c r="R119" s="144" t="s">
        <v>670</v>
      </c>
    </row>
    <row r="120" spans="1:18" ht="24.95" customHeight="1">
      <c r="A120" s="8" t="s">
        <v>78</v>
      </c>
      <c r="B120" s="8" t="s">
        <v>85</v>
      </c>
      <c r="C120" s="8" t="s">
        <v>74</v>
      </c>
      <c r="D120" s="2" t="s">
        <v>49</v>
      </c>
      <c r="E120" s="3" t="s">
        <v>15</v>
      </c>
      <c r="F120" s="134" t="str">
        <f t="shared" si="5"/>
        <v>GLAMRR Q</v>
      </c>
      <c r="G120" s="2">
        <v>9</v>
      </c>
      <c r="H120" s="2"/>
      <c r="I120" s="147">
        <f t="shared" si="7"/>
        <v>9</v>
      </c>
      <c r="J120" s="4" t="s">
        <v>39</v>
      </c>
      <c r="K120" s="5">
        <v>46062</v>
      </c>
      <c r="L120" s="123">
        <f t="shared" ca="1" si="8"/>
        <v>46106</v>
      </c>
      <c r="M120" s="145">
        <v>36</v>
      </c>
      <c r="N120" s="150">
        <f t="shared" ca="1" si="9"/>
        <v>-1.4666666666666666</v>
      </c>
      <c r="O120" s="151">
        <f t="shared" ca="1" si="6"/>
        <v>-4.0740740740740737E-2</v>
      </c>
      <c r="P120" s="8"/>
      <c r="Q120" s="129"/>
      <c r="R120" s="144" t="s">
        <v>670</v>
      </c>
    </row>
    <row r="121" spans="1:18" ht="24.95" customHeight="1">
      <c r="A121" s="8" t="s">
        <v>78</v>
      </c>
      <c r="B121" s="8" t="s">
        <v>85</v>
      </c>
      <c r="C121" s="8" t="s">
        <v>74</v>
      </c>
      <c r="D121" s="2" t="s">
        <v>49</v>
      </c>
      <c r="E121" s="3" t="s">
        <v>15</v>
      </c>
      <c r="F121" s="134" t="str">
        <f t="shared" si="5"/>
        <v>GLAMRR Q</v>
      </c>
      <c r="G121" s="2">
        <v>20</v>
      </c>
      <c r="H121" s="2"/>
      <c r="I121" s="147">
        <f t="shared" si="7"/>
        <v>20</v>
      </c>
      <c r="J121" s="4" t="s">
        <v>39</v>
      </c>
      <c r="K121" s="5">
        <v>46368</v>
      </c>
      <c r="L121" s="123">
        <f t="shared" ca="1" si="8"/>
        <v>46106</v>
      </c>
      <c r="M121" s="145">
        <v>36</v>
      </c>
      <c r="N121" s="150">
        <f t="shared" ca="1" si="9"/>
        <v>8.7333333333333325</v>
      </c>
      <c r="O121" s="151">
        <f t="shared" ca="1" si="6"/>
        <v>0.24259259259259258</v>
      </c>
      <c r="P121" s="8"/>
      <c r="Q121" s="129"/>
      <c r="R121" s="144" t="s">
        <v>670</v>
      </c>
    </row>
    <row r="122" spans="1:18" ht="24.95" customHeight="1">
      <c r="A122" s="8" t="s">
        <v>78</v>
      </c>
      <c r="B122" s="8" t="s">
        <v>85</v>
      </c>
      <c r="C122" s="8" t="s">
        <v>74</v>
      </c>
      <c r="D122" s="2" t="s">
        <v>50</v>
      </c>
      <c r="E122" s="3" t="s">
        <v>16</v>
      </c>
      <c r="F122" s="134" t="str">
        <f t="shared" si="5"/>
        <v>GLAMRR Q</v>
      </c>
      <c r="G122" s="2">
        <v>20</v>
      </c>
      <c r="H122" s="2"/>
      <c r="I122" s="147">
        <f t="shared" si="7"/>
        <v>20</v>
      </c>
      <c r="J122" s="4" t="s">
        <v>39</v>
      </c>
      <c r="K122" s="5">
        <v>46062</v>
      </c>
      <c r="L122" s="123">
        <f t="shared" ca="1" si="8"/>
        <v>46106</v>
      </c>
      <c r="M122" s="145">
        <v>36</v>
      </c>
      <c r="N122" s="150">
        <f t="shared" ca="1" si="9"/>
        <v>-1.4666666666666666</v>
      </c>
      <c r="O122" s="151">
        <f t="shared" ca="1" si="6"/>
        <v>-4.0740740740740737E-2</v>
      </c>
      <c r="P122" s="8"/>
      <c r="Q122" s="129"/>
      <c r="R122" s="144" t="s">
        <v>670</v>
      </c>
    </row>
    <row r="123" spans="1:18" ht="24.95" customHeight="1">
      <c r="A123" s="8" t="s">
        <v>78</v>
      </c>
      <c r="B123" s="8" t="s">
        <v>85</v>
      </c>
      <c r="C123" s="8" t="s">
        <v>74</v>
      </c>
      <c r="D123" s="2" t="s">
        <v>51</v>
      </c>
      <c r="E123" s="3" t="s">
        <v>17</v>
      </c>
      <c r="F123" s="134" t="str">
        <f t="shared" si="5"/>
        <v>GLAMRR Q</v>
      </c>
      <c r="G123" s="2">
        <v>7</v>
      </c>
      <c r="H123" s="2"/>
      <c r="I123" s="147">
        <f t="shared" si="7"/>
        <v>7</v>
      </c>
      <c r="J123" s="4" t="s">
        <v>39</v>
      </c>
      <c r="K123" s="5">
        <v>46062</v>
      </c>
      <c r="L123" s="123">
        <f t="shared" ca="1" si="8"/>
        <v>46106</v>
      </c>
      <c r="M123" s="145">
        <v>36</v>
      </c>
      <c r="N123" s="150">
        <f t="shared" ca="1" si="9"/>
        <v>-1.4666666666666666</v>
      </c>
      <c r="O123" s="151">
        <f t="shared" ca="1" si="6"/>
        <v>-4.0740740740740737E-2</v>
      </c>
      <c r="P123" s="8"/>
      <c r="Q123" s="129"/>
      <c r="R123" s="144" t="s">
        <v>670</v>
      </c>
    </row>
    <row r="124" spans="1:18" ht="24.95" customHeight="1">
      <c r="A124" s="8" t="s">
        <v>78</v>
      </c>
      <c r="B124" s="8" t="s">
        <v>85</v>
      </c>
      <c r="C124" s="8" t="s">
        <v>74</v>
      </c>
      <c r="D124" s="2" t="s">
        <v>52</v>
      </c>
      <c r="E124" s="3" t="s">
        <v>18</v>
      </c>
      <c r="F124" s="134" t="str">
        <f t="shared" si="5"/>
        <v>GLAMRR Q</v>
      </c>
      <c r="G124" s="2">
        <v>12</v>
      </c>
      <c r="H124" s="2"/>
      <c r="I124" s="147">
        <f t="shared" si="7"/>
        <v>12</v>
      </c>
      <c r="J124" s="4" t="s">
        <v>39</v>
      </c>
      <c r="K124" s="5">
        <v>46063</v>
      </c>
      <c r="L124" s="123">
        <f t="shared" ca="1" si="8"/>
        <v>46106</v>
      </c>
      <c r="M124" s="145">
        <v>36</v>
      </c>
      <c r="N124" s="150">
        <f t="shared" ca="1" si="9"/>
        <v>-1.4333333333333333</v>
      </c>
      <c r="O124" s="151">
        <f t="shared" ca="1" si="6"/>
        <v>-3.9814814814814817E-2</v>
      </c>
      <c r="P124" s="8"/>
      <c r="Q124" s="129"/>
      <c r="R124" s="144" t="s">
        <v>670</v>
      </c>
    </row>
    <row r="125" spans="1:18" ht="24.95" customHeight="1">
      <c r="A125" s="8" t="s">
        <v>78</v>
      </c>
      <c r="B125" s="8" t="s">
        <v>85</v>
      </c>
      <c r="C125" s="8" t="s">
        <v>74</v>
      </c>
      <c r="D125" s="2" t="s">
        <v>53</v>
      </c>
      <c r="E125" s="3" t="s">
        <v>19</v>
      </c>
      <c r="F125" s="134" t="str">
        <f t="shared" si="5"/>
        <v>GLAMRR Q</v>
      </c>
      <c r="G125" s="2">
        <v>3</v>
      </c>
      <c r="H125" s="2"/>
      <c r="I125" s="147">
        <f t="shared" si="7"/>
        <v>3</v>
      </c>
      <c r="J125" s="4" t="s">
        <v>39</v>
      </c>
      <c r="K125" s="5">
        <v>46104</v>
      </c>
      <c r="L125" s="123">
        <f t="shared" ca="1" si="8"/>
        <v>46106</v>
      </c>
      <c r="M125" s="145">
        <v>36</v>
      </c>
      <c r="N125" s="150">
        <f t="shared" ca="1" si="9"/>
        <v>-6.6666666666666666E-2</v>
      </c>
      <c r="O125" s="151">
        <f t="shared" ca="1" si="6"/>
        <v>-1.8518518518518519E-3</v>
      </c>
      <c r="P125" s="8"/>
      <c r="Q125" s="129"/>
      <c r="R125" s="144" t="s">
        <v>670</v>
      </c>
    </row>
    <row r="126" spans="1:18" ht="24.95" customHeight="1">
      <c r="A126" s="8" t="s">
        <v>78</v>
      </c>
      <c r="B126" s="8" t="s">
        <v>85</v>
      </c>
      <c r="C126" s="8" t="s">
        <v>74</v>
      </c>
      <c r="D126" s="2" t="s">
        <v>53</v>
      </c>
      <c r="E126" s="3" t="s">
        <v>19</v>
      </c>
      <c r="F126" s="134" t="str">
        <f t="shared" si="5"/>
        <v>GLAMRR Q</v>
      </c>
      <c r="G126" s="4">
        <v>3</v>
      </c>
      <c r="H126" s="4"/>
      <c r="I126" s="147">
        <f t="shared" si="7"/>
        <v>3</v>
      </c>
      <c r="J126" s="4" t="s">
        <v>54</v>
      </c>
      <c r="K126" s="5" t="s">
        <v>27</v>
      </c>
      <c r="L126" s="123" t="s">
        <v>27</v>
      </c>
      <c r="M126" s="123" t="s">
        <v>27</v>
      </c>
      <c r="N126" s="123" t="s">
        <v>27</v>
      </c>
      <c r="O126" s="123" t="s">
        <v>27</v>
      </c>
      <c r="P126" s="8"/>
      <c r="Q126" s="129"/>
      <c r="R126" s="144" t="s">
        <v>670</v>
      </c>
    </row>
    <row r="127" spans="1:18" ht="24.95" customHeight="1">
      <c r="A127" s="8" t="s">
        <v>78</v>
      </c>
      <c r="B127" s="8" t="s">
        <v>85</v>
      </c>
      <c r="C127" s="8" t="s">
        <v>74</v>
      </c>
      <c r="D127" s="2" t="s">
        <v>53</v>
      </c>
      <c r="E127" s="3" t="s">
        <v>19</v>
      </c>
      <c r="F127" s="134" t="str">
        <f t="shared" si="5"/>
        <v>GLAMRR Q</v>
      </c>
      <c r="G127" s="2">
        <v>2</v>
      </c>
      <c r="H127" s="2"/>
      <c r="I127" s="147">
        <f t="shared" si="7"/>
        <v>2</v>
      </c>
      <c r="J127" s="4" t="s">
        <v>30</v>
      </c>
      <c r="K127" s="5">
        <v>46325</v>
      </c>
      <c r="L127" s="123">
        <f t="shared" ref="L127:L136" ca="1" si="10">TODAY()</f>
        <v>46106</v>
      </c>
      <c r="M127" s="145">
        <v>36</v>
      </c>
      <c r="N127" s="150">
        <f t="shared" ca="1" si="9"/>
        <v>7.3</v>
      </c>
      <c r="O127" s="151">
        <f t="shared" ca="1" si="6"/>
        <v>0.20277777777777778</v>
      </c>
      <c r="P127" s="8"/>
      <c r="Q127" s="129"/>
      <c r="R127" s="144" t="s">
        <v>670</v>
      </c>
    </row>
    <row r="128" spans="1:18" ht="24.95" customHeight="1">
      <c r="A128" s="8" t="s">
        <v>78</v>
      </c>
      <c r="B128" s="8" t="s">
        <v>85</v>
      </c>
      <c r="C128" s="8" t="s">
        <v>74</v>
      </c>
      <c r="D128" s="2" t="s">
        <v>53</v>
      </c>
      <c r="E128" s="3" t="s">
        <v>19</v>
      </c>
      <c r="F128" s="134" t="str">
        <f t="shared" si="5"/>
        <v>GLAMRR Q</v>
      </c>
      <c r="G128" s="2">
        <v>21</v>
      </c>
      <c r="H128" s="2"/>
      <c r="I128" s="147">
        <f t="shared" si="7"/>
        <v>21</v>
      </c>
      <c r="J128" s="4" t="s">
        <v>39</v>
      </c>
      <c r="K128" s="5">
        <v>46325</v>
      </c>
      <c r="L128" s="123">
        <f t="shared" ca="1" si="10"/>
        <v>46106</v>
      </c>
      <c r="M128" s="145">
        <v>36</v>
      </c>
      <c r="N128" s="150">
        <f t="shared" ca="1" si="9"/>
        <v>7.3</v>
      </c>
      <c r="O128" s="151">
        <f t="shared" ca="1" si="6"/>
        <v>0.20277777777777778</v>
      </c>
      <c r="P128" s="8"/>
      <c r="Q128" s="129"/>
      <c r="R128" s="144" t="s">
        <v>670</v>
      </c>
    </row>
    <row r="129" spans="1:18" ht="24.95" customHeight="1">
      <c r="A129" s="8" t="s">
        <v>78</v>
      </c>
      <c r="B129" s="8" t="s">
        <v>85</v>
      </c>
      <c r="C129" s="8" t="s">
        <v>74</v>
      </c>
      <c r="D129" s="2" t="s">
        <v>53</v>
      </c>
      <c r="E129" s="3" t="s">
        <v>19</v>
      </c>
      <c r="F129" s="134" t="str">
        <f t="shared" ref="F129:F192" si="11">IF(ISNUMBER(SEARCH("gilaa",E129)),"GILAA",
IF(ISNUMBER(SEARCH("GLAMRR Q",E129)),"GLAMRR Q",
IF(ISNUMBER(SEARCH("BAD PEACH",E129)),"BAD PEACH",
IF(ISNUMBER(SEARCH("VEGICK",E129)),"VEGICK",
IF(ISNUMBER(SEARCH("DE MEMORIA",E129)),"DE MEMORIA",
IF(ISNUMBER(SEARCH("MUDE",E129)),"MUDE",
IF(ISNUMBER(SEARCH("daoida",E129)),"DAOIDA",IF(ISNUMBER(SEARCH("MEDIFORCELL",E129)),"MEDIFORCELL",IF(ISNUMBER(SEARCH("PLU",E129)),"PLU","")))))))))</f>
        <v>GLAMRR Q</v>
      </c>
      <c r="G129" s="2">
        <v>2</v>
      </c>
      <c r="H129" s="2"/>
      <c r="I129" s="147">
        <f t="shared" si="7"/>
        <v>2</v>
      </c>
      <c r="J129" s="4" t="s">
        <v>30</v>
      </c>
      <c r="K129" s="5">
        <v>46375</v>
      </c>
      <c r="L129" s="123">
        <f t="shared" ca="1" si="10"/>
        <v>46106</v>
      </c>
      <c r="M129" s="145">
        <v>36</v>
      </c>
      <c r="N129" s="150">
        <f t="shared" ca="1" si="9"/>
        <v>8.9666666666666668</v>
      </c>
      <c r="O129" s="151">
        <f t="shared" ca="1" si="6"/>
        <v>0.24907407407407409</v>
      </c>
      <c r="P129" s="8"/>
      <c r="Q129" s="129"/>
      <c r="R129" s="144" t="s">
        <v>670</v>
      </c>
    </row>
    <row r="130" spans="1:18" ht="24.95" customHeight="1">
      <c r="A130" s="8" t="s">
        <v>78</v>
      </c>
      <c r="B130" s="8" t="s">
        <v>85</v>
      </c>
      <c r="C130" s="8" t="s">
        <v>74</v>
      </c>
      <c r="D130" s="2" t="s">
        <v>53</v>
      </c>
      <c r="E130" s="3" t="s">
        <v>19</v>
      </c>
      <c r="F130" s="134" t="str">
        <f t="shared" si="11"/>
        <v>GLAMRR Q</v>
      </c>
      <c r="G130" s="2">
        <v>18</v>
      </c>
      <c r="H130" s="2"/>
      <c r="I130" s="147">
        <f t="shared" si="7"/>
        <v>18</v>
      </c>
      <c r="J130" s="4" t="s">
        <v>39</v>
      </c>
      <c r="K130" s="5">
        <v>46375</v>
      </c>
      <c r="L130" s="123">
        <f t="shared" ca="1" si="10"/>
        <v>46106</v>
      </c>
      <c r="M130" s="145">
        <v>36</v>
      </c>
      <c r="N130" s="150">
        <f t="shared" ca="1" si="9"/>
        <v>8.9666666666666668</v>
      </c>
      <c r="O130" s="151">
        <f t="shared" ref="O130:O193" ca="1" si="12">N130/M130</f>
        <v>0.24907407407407409</v>
      </c>
      <c r="P130" s="8"/>
      <c r="Q130" s="129"/>
      <c r="R130" s="144" t="s">
        <v>670</v>
      </c>
    </row>
    <row r="131" spans="1:18" ht="24.95" customHeight="1">
      <c r="A131" s="8" t="s">
        <v>78</v>
      </c>
      <c r="B131" s="8" t="s">
        <v>85</v>
      </c>
      <c r="C131" s="8" t="s">
        <v>74</v>
      </c>
      <c r="D131" s="2" t="s">
        <v>53</v>
      </c>
      <c r="E131" s="3" t="s">
        <v>19</v>
      </c>
      <c r="F131" s="134" t="str">
        <f t="shared" si="11"/>
        <v>GLAMRR Q</v>
      </c>
      <c r="G131" s="2">
        <v>10</v>
      </c>
      <c r="H131" s="2"/>
      <c r="I131" s="147">
        <f t="shared" ref="I131:I194" si="13">G131-H131</f>
        <v>10</v>
      </c>
      <c r="J131" s="4" t="s">
        <v>30</v>
      </c>
      <c r="K131" s="5">
        <v>46452</v>
      </c>
      <c r="L131" s="123">
        <f t="shared" ca="1" si="10"/>
        <v>46106</v>
      </c>
      <c r="M131" s="145">
        <v>36</v>
      </c>
      <c r="N131" s="150">
        <f t="shared" ref="N131:N194" ca="1" si="14">(K131-L131)/30</f>
        <v>11.533333333333333</v>
      </c>
      <c r="O131" s="151">
        <f t="shared" ca="1" si="12"/>
        <v>0.32037037037037036</v>
      </c>
      <c r="P131" s="8"/>
      <c r="Q131" s="129"/>
      <c r="R131" s="144" t="s">
        <v>670</v>
      </c>
    </row>
    <row r="132" spans="1:18" ht="24.95" customHeight="1">
      <c r="A132" s="8" t="s">
        <v>78</v>
      </c>
      <c r="B132" s="8" t="s">
        <v>85</v>
      </c>
      <c r="C132" s="8" t="s">
        <v>74</v>
      </c>
      <c r="D132" s="2" t="s">
        <v>53</v>
      </c>
      <c r="E132" s="3" t="s">
        <v>19</v>
      </c>
      <c r="F132" s="134" t="str">
        <f t="shared" si="11"/>
        <v>GLAMRR Q</v>
      </c>
      <c r="G132" s="2">
        <v>80</v>
      </c>
      <c r="H132" s="2"/>
      <c r="I132" s="147">
        <f t="shared" si="13"/>
        <v>80</v>
      </c>
      <c r="J132" s="4" t="s">
        <v>39</v>
      </c>
      <c r="K132" s="5">
        <v>46452</v>
      </c>
      <c r="L132" s="123">
        <f t="shared" ca="1" si="10"/>
        <v>46106</v>
      </c>
      <c r="M132" s="145">
        <v>36</v>
      </c>
      <c r="N132" s="150">
        <f t="shared" ca="1" si="14"/>
        <v>11.533333333333333</v>
      </c>
      <c r="O132" s="151">
        <f t="shared" ca="1" si="12"/>
        <v>0.32037037037037036</v>
      </c>
      <c r="P132" s="8"/>
      <c r="Q132" s="129"/>
      <c r="R132" s="144" t="s">
        <v>670</v>
      </c>
    </row>
    <row r="133" spans="1:18" ht="24.95" customHeight="1">
      <c r="A133" s="8" t="s">
        <v>78</v>
      </c>
      <c r="B133" s="8" t="s">
        <v>85</v>
      </c>
      <c r="C133" s="8" t="s">
        <v>74</v>
      </c>
      <c r="D133" s="2" t="s">
        <v>53</v>
      </c>
      <c r="E133" s="3" t="s">
        <v>19</v>
      </c>
      <c r="F133" s="134" t="str">
        <f t="shared" si="11"/>
        <v>GLAMRR Q</v>
      </c>
      <c r="G133" s="2">
        <v>38</v>
      </c>
      <c r="H133" s="2"/>
      <c r="I133" s="147">
        <f t="shared" si="13"/>
        <v>38</v>
      </c>
      <c r="J133" s="4" t="s">
        <v>30</v>
      </c>
      <c r="K133" s="5">
        <v>46786</v>
      </c>
      <c r="L133" s="123">
        <f t="shared" ca="1" si="10"/>
        <v>46106</v>
      </c>
      <c r="M133" s="145">
        <v>36</v>
      </c>
      <c r="N133" s="150">
        <f t="shared" ca="1" si="14"/>
        <v>22.666666666666668</v>
      </c>
      <c r="O133" s="151">
        <f t="shared" ca="1" si="12"/>
        <v>0.62962962962962965</v>
      </c>
      <c r="P133" s="8"/>
      <c r="Q133" s="129"/>
      <c r="R133" s="144" t="s">
        <v>670</v>
      </c>
    </row>
    <row r="134" spans="1:18" ht="24.95" customHeight="1">
      <c r="A134" s="8" t="s">
        <v>78</v>
      </c>
      <c r="B134" s="8" t="s">
        <v>85</v>
      </c>
      <c r="C134" s="8" t="s">
        <v>74</v>
      </c>
      <c r="D134" s="2" t="s">
        <v>53</v>
      </c>
      <c r="E134" s="3" t="s">
        <v>19</v>
      </c>
      <c r="F134" s="134" t="str">
        <f t="shared" si="11"/>
        <v>GLAMRR Q</v>
      </c>
      <c r="G134" s="2">
        <v>12</v>
      </c>
      <c r="H134" s="2"/>
      <c r="I134" s="147">
        <f t="shared" si="13"/>
        <v>12</v>
      </c>
      <c r="J134" s="4" t="s">
        <v>39</v>
      </c>
      <c r="K134" s="5">
        <v>46786</v>
      </c>
      <c r="L134" s="123">
        <f t="shared" ca="1" si="10"/>
        <v>46106</v>
      </c>
      <c r="M134" s="145">
        <v>36</v>
      </c>
      <c r="N134" s="150">
        <f t="shared" ca="1" si="14"/>
        <v>22.666666666666668</v>
      </c>
      <c r="O134" s="151">
        <f t="shared" ca="1" si="12"/>
        <v>0.62962962962962965</v>
      </c>
      <c r="P134" s="8"/>
      <c r="Q134" s="129"/>
      <c r="R134" s="144" t="s">
        <v>670</v>
      </c>
    </row>
    <row r="135" spans="1:18" ht="24.95" customHeight="1">
      <c r="A135" s="8" t="s">
        <v>78</v>
      </c>
      <c r="B135" s="8" t="s">
        <v>85</v>
      </c>
      <c r="C135" s="8" t="s">
        <v>74</v>
      </c>
      <c r="D135" s="2" t="s">
        <v>53</v>
      </c>
      <c r="E135" s="3" t="s">
        <v>19</v>
      </c>
      <c r="F135" s="134" t="str">
        <f t="shared" si="11"/>
        <v>GLAMRR Q</v>
      </c>
      <c r="G135" s="2">
        <v>48</v>
      </c>
      <c r="H135" s="2"/>
      <c r="I135" s="147">
        <f t="shared" si="13"/>
        <v>48</v>
      </c>
      <c r="J135" s="4" t="s">
        <v>39</v>
      </c>
      <c r="K135" s="5">
        <v>46472</v>
      </c>
      <c r="L135" s="123">
        <f t="shared" ca="1" si="10"/>
        <v>46106</v>
      </c>
      <c r="M135" s="145">
        <v>36</v>
      </c>
      <c r="N135" s="150">
        <f t="shared" ca="1" si="14"/>
        <v>12.2</v>
      </c>
      <c r="O135" s="151">
        <f t="shared" ca="1" si="12"/>
        <v>0.33888888888888885</v>
      </c>
      <c r="P135" s="8"/>
      <c r="Q135" s="129"/>
      <c r="R135" s="144" t="s">
        <v>670</v>
      </c>
    </row>
    <row r="136" spans="1:18" ht="24.95" customHeight="1">
      <c r="A136" s="8" t="s">
        <v>78</v>
      </c>
      <c r="B136" s="8" t="s">
        <v>85</v>
      </c>
      <c r="C136" s="8" t="s">
        <v>74</v>
      </c>
      <c r="D136" s="2" t="s">
        <v>55</v>
      </c>
      <c r="E136" s="3" t="s">
        <v>20</v>
      </c>
      <c r="F136" s="134" t="str">
        <f t="shared" si="11"/>
        <v>GLAMRR Q</v>
      </c>
      <c r="G136" s="2">
        <v>1</v>
      </c>
      <c r="H136" s="2"/>
      <c r="I136" s="147">
        <f t="shared" si="13"/>
        <v>1</v>
      </c>
      <c r="J136" s="4" t="s">
        <v>39</v>
      </c>
      <c r="K136" s="5">
        <v>46056</v>
      </c>
      <c r="L136" s="123">
        <f t="shared" ca="1" si="10"/>
        <v>46106</v>
      </c>
      <c r="M136" s="145">
        <v>36</v>
      </c>
      <c r="N136" s="150">
        <f t="shared" ca="1" si="14"/>
        <v>-1.6666666666666667</v>
      </c>
      <c r="O136" s="151">
        <f t="shared" ca="1" si="12"/>
        <v>-4.6296296296296301E-2</v>
      </c>
      <c r="P136" s="8"/>
      <c r="Q136" s="129"/>
      <c r="R136" s="144" t="s">
        <v>670</v>
      </c>
    </row>
    <row r="137" spans="1:18" ht="24.95" customHeight="1">
      <c r="A137" s="8" t="s">
        <v>78</v>
      </c>
      <c r="B137" s="8" t="s">
        <v>85</v>
      </c>
      <c r="C137" s="8" t="s">
        <v>74</v>
      </c>
      <c r="D137" s="2" t="s">
        <v>55</v>
      </c>
      <c r="E137" s="3" t="s">
        <v>20</v>
      </c>
      <c r="F137" s="134" t="str">
        <f t="shared" si="11"/>
        <v>GLAMRR Q</v>
      </c>
      <c r="G137" s="4">
        <v>1</v>
      </c>
      <c r="H137" s="4"/>
      <c r="I137" s="147">
        <f t="shared" si="13"/>
        <v>1</v>
      </c>
      <c r="J137" s="4" t="s">
        <v>54</v>
      </c>
      <c r="K137" s="5" t="s">
        <v>27</v>
      </c>
      <c r="L137" s="123" t="s">
        <v>27</v>
      </c>
      <c r="M137" s="123" t="s">
        <v>27</v>
      </c>
      <c r="N137" s="123" t="s">
        <v>27</v>
      </c>
      <c r="O137" s="123" t="s">
        <v>27</v>
      </c>
      <c r="P137" s="8"/>
      <c r="Q137" s="129"/>
      <c r="R137" s="144" t="s">
        <v>670</v>
      </c>
    </row>
    <row r="138" spans="1:18" ht="24.95" customHeight="1">
      <c r="A138" s="8" t="s">
        <v>78</v>
      </c>
      <c r="B138" s="8" t="s">
        <v>85</v>
      </c>
      <c r="C138" s="8" t="s">
        <v>74</v>
      </c>
      <c r="D138" s="2" t="s">
        <v>55</v>
      </c>
      <c r="E138" s="3" t="s">
        <v>20</v>
      </c>
      <c r="F138" s="134" t="str">
        <f t="shared" si="11"/>
        <v>GLAMRR Q</v>
      </c>
      <c r="G138" s="2">
        <v>2</v>
      </c>
      <c r="H138" s="2"/>
      <c r="I138" s="147">
        <f t="shared" si="13"/>
        <v>2</v>
      </c>
      <c r="J138" s="4" t="s">
        <v>30</v>
      </c>
      <c r="K138" s="5">
        <v>46355</v>
      </c>
      <c r="L138" s="123">
        <f t="shared" ref="L138:L201" ca="1" si="15">TODAY()</f>
        <v>46106</v>
      </c>
      <c r="M138" s="145">
        <v>36</v>
      </c>
      <c r="N138" s="150">
        <f t="shared" ca="1" si="14"/>
        <v>8.3000000000000007</v>
      </c>
      <c r="O138" s="151">
        <f t="shared" ca="1" si="12"/>
        <v>0.23055555555555557</v>
      </c>
      <c r="P138" s="8"/>
      <c r="Q138" s="129"/>
      <c r="R138" s="144" t="s">
        <v>670</v>
      </c>
    </row>
    <row r="139" spans="1:18" ht="24.95" customHeight="1">
      <c r="A139" s="8" t="s">
        <v>78</v>
      </c>
      <c r="B139" s="8" t="s">
        <v>85</v>
      </c>
      <c r="C139" s="8" t="s">
        <v>74</v>
      </c>
      <c r="D139" s="2" t="s">
        <v>55</v>
      </c>
      <c r="E139" s="3" t="s">
        <v>20</v>
      </c>
      <c r="F139" s="134" t="str">
        <f t="shared" si="11"/>
        <v>GLAMRR Q</v>
      </c>
      <c r="G139" s="2">
        <v>52</v>
      </c>
      <c r="H139" s="2"/>
      <c r="I139" s="147">
        <f t="shared" si="13"/>
        <v>52</v>
      </c>
      <c r="J139" s="4" t="s">
        <v>39</v>
      </c>
      <c r="K139" s="5">
        <v>46355</v>
      </c>
      <c r="L139" s="123">
        <f t="shared" ca="1" si="15"/>
        <v>46106</v>
      </c>
      <c r="M139" s="145">
        <v>36</v>
      </c>
      <c r="N139" s="150">
        <f t="shared" ca="1" si="14"/>
        <v>8.3000000000000007</v>
      </c>
      <c r="O139" s="151">
        <f t="shared" ca="1" si="12"/>
        <v>0.23055555555555557</v>
      </c>
      <c r="P139" s="8"/>
      <c r="Q139" s="129"/>
      <c r="R139" s="144" t="s">
        <v>670</v>
      </c>
    </row>
    <row r="140" spans="1:18" ht="24.95" customHeight="1">
      <c r="A140" s="8" t="s">
        <v>78</v>
      </c>
      <c r="B140" s="8" t="s">
        <v>85</v>
      </c>
      <c r="C140" s="8" t="s">
        <v>74</v>
      </c>
      <c r="D140" s="2" t="s">
        <v>55</v>
      </c>
      <c r="E140" s="3" t="s">
        <v>20</v>
      </c>
      <c r="F140" s="134" t="str">
        <f t="shared" si="11"/>
        <v>GLAMRR Q</v>
      </c>
      <c r="G140" s="2">
        <v>45</v>
      </c>
      <c r="H140" s="2"/>
      <c r="I140" s="147">
        <f t="shared" si="13"/>
        <v>45</v>
      </c>
      <c r="J140" s="4" t="s">
        <v>39</v>
      </c>
      <c r="K140" s="5">
        <v>46370</v>
      </c>
      <c r="L140" s="123">
        <f t="shared" ca="1" si="15"/>
        <v>46106</v>
      </c>
      <c r="M140" s="145">
        <v>36</v>
      </c>
      <c r="N140" s="150">
        <f t="shared" ca="1" si="14"/>
        <v>8.8000000000000007</v>
      </c>
      <c r="O140" s="151">
        <f t="shared" ca="1" si="12"/>
        <v>0.24444444444444446</v>
      </c>
      <c r="P140" s="8"/>
      <c r="Q140" s="129"/>
      <c r="R140" s="144" t="s">
        <v>670</v>
      </c>
    </row>
    <row r="141" spans="1:18" ht="24.95" customHeight="1">
      <c r="A141" s="8" t="s">
        <v>78</v>
      </c>
      <c r="B141" s="8" t="s">
        <v>85</v>
      </c>
      <c r="C141" s="8" t="s">
        <v>74</v>
      </c>
      <c r="D141" s="2" t="s">
        <v>55</v>
      </c>
      <c r="E141" s="3" t="s">
        <v>20</v>
      </c>
      <c r="F141" s="134" t="str">
        <f t="shared" si="11"/>
        <v>GLAMRR Q</v>
      </c>
      <c r="G141" s="2">
        <v>30</v>
      </c>
      <c r="H141" s="2"/>
      <c r="I141" s="147">
        <f t="shared" si="13"/>
        <v>30</v>
      </c>
      <c r="J141" s="4" t="s">
        <v>39</v>
      </c>
      <c r="K141" s="5">
        <v>46431</v>
      </c>
      <c r="L141" s="123">
        <f t="shared" ca="1" si="15"/>
        <v>46106</v>
      </c>
      <c r="M141" s="145">
        <v>36</v>
      </c>
      <c r="N141" s="150">
        <f t="shared" ca="1" si="14"/>
        <v>10.833333333333334</v>
      </c>
      <c r="O141" s="151">
        <f t="shared" ca="1" si="12"/>
        <v>0.30092592592592593</v>
      </c>
      <c r="P141" s="8"/>
      <c r="Q141" s="129"/>
      <c r="R141" s="144" t="s">
        <v>670</v>
      </c>
    </row>
    <row r="142" spans="1:18" ht="24.95" customHeight="1">
      <c r="A142" s="8" t="s">
        <v>78</v>
      </c>
      <c r="B142" s="8" t="s">
        <v>85</v>
      </c>
      <c r="C142" s="8" t="s">
        <v>74</v>
      </c>
      <c r="D142" s="2" t="s">
        <v>55</v>
      </c>
      <c r="E142" s="3" t="s">
        <v>20</v>
      </c>
      <c r="F142" s="134" t="str">
        <f t="shared" si="11"/>
        <v>GLAMRR Q</v>
      </c>
      <c r="G142" s="2">
        <v>18</v>
      </c>
      <c r="H142" s="2"/>
      <c r="I142" s="147">
        <f t="shared" si="13"/>
        <v>18</v>
      </c>
      <c r="J142" s="4" t="s">
        <v>30</v>
      </c>
      <c r="K142" s="5">
        <v>46451</v>
      </c>
      <c r="L142" s="123">
        <f t="shared" ca="1" si="15"/>
        <v>46106</v>
      </c>
      <c r="M142" s="145">
        <v>36</v>
      </c>
      <c r="N142" s="150">
        <f t="shared" ca="1" si="14"/>
        <v>11.5</v>
      </c>
      <c r="O142" s="151">
        <f t="shared" ca="1" si="12"/>
        <v>0.31944444444444442</v>
      </c>
      <c r="P142" s="8"/>
      <c r="Q142" s="129"/>
      <c r="R142" s="144" t="s">
        <v>670</v>
      </c>
    </row>
    <row r="143" spans="1:18" ht="24.95" customHeight="1">
      <c r="A143" s="8" t="s">
        <v>78</v>
      </c>
      <c r="B143" s="8" t="s">
        <v>85</v>
      </c>
      <c r="C143" s="8" t="s">
        <v>74</v>
      </c>
      <c r="D143" s="2" t="s">
        <v>55</v>
      </c>
      <c r="E143" s="3" t="s">
        <v>20</v>
      </c>
      <c r="F143" s="134" t="str">
        <f t="shared" si="11"/>
        <v>GLAMRR Q</v>
      </c>
      <c r="G143" s="2">
        <v>100</v>
      </c>
      <c r="H143" s="2"/>
      <c r="I143" s="147">
        <f t="shared" si="13"/>
        <v>100</v>
      </c>
      <c r="J143" s="4" t="s">
        <v>39</v>
      </c>
      <c r="K143" s="5">
        <v>46451</v>
      </c>
      <c r="L143" s="123">
        <f t="shared" ca="1" si="15"/>
        <v>46106</v>
      </c>
      <c r="M143" s="145">
        <v>36</v>
      </c>
      <c r="N143" s="150">
        <f t="shared" ca="1" si="14"/>
        <v>11.5</v>
      </c>
      <c r="O143" s="151">
        <f t="shared" ca="1" si="12"/>
        <v>0.31944444444444442</v>
      </c>
      <c r="P143" s="8"/>
      <c r="Q143" s="129"/>
      <c r="R143" s="144" t="s">
        <v>670</v>
      </c>
    </row>
    <row r="144" spans="1:18" ht="24.95" customHeight="1">
      <c r="A144" s="8" t="s">
        <v>78</v>
      </c>
      <c r="B144" s="8" t="s">
        <v>85</v>
      </c>
      <c r="C144" s="8" t="s">
        <v>74</v>
      </c>
      <c r="D144" s="2" t="s">
        <v>56</v>
      </c>
      <c r="E144" s="3" t="s">
        <v>21</v>
      </c>
      <c r="F144" s="134" t="str">
        <f t="shared" si="11"/>
        <v>GLAMRR Q</v>
      </c>
      <c r="G144" s="2">
        <v>9</v>
      </c>
      <c r="H144" s="2"/>
      <c r="I144" s="147">
        <f t="shared" si="13"/>
        <v>9</v>
      </c>
      <c r="J144" s="4" t="s">
        <v>39</v>
      </c>
      <c r="K144" s="5">
        <v>46068</v>
      </c>
      <c r="L144" s="123">
        <f t="shared" ca="1" si="15"/>
        <v>46106</v>
      </c>
      <c r="M144" s="145">
        <v>36</v>
      </c>
      <c r="N144" s="150">
        <f t="shared" ca="1" si="14"/>
        <v>-1.2666666666666666</v>
      </c>
      <c r="O144" s="151">
        <f t="shared" ca="1" si="12"/>
        <v>-3.518518518518518E-2</v>
      </c>
      <c r="P144" s="8"/>
      <c r="Q144" s="129"/>
      <c r="R144" s="144" t="s">
        <v>670</v>
      </c>
    </row>
    <row r="145" spans="1:18" ht="24.95" customHeight="1">
      <c r="A145" s="8" t="s">
        <v>78</v>
      </c>
      <c r="B145" s="8" t="s">
        <v>85</v>
      </c>
      <c r="C145" s="8" t="s">
        <v>74</v>
      </c>
      <c r="D145" s="2" t="s">
        <v>56</v>
      </c>
      <c r="E145" s="3" t="s">
        <v>21</v>
      </c>
      <c r="F145" s="134" t="str">
        <f t="shared" si="11"/>
        <v>GLAMRR Q</v>
      </c>
      <c r="G145" s="2">
        <f>7*4*5+15</f>
        <v>155</v>
      </c>
      <c r="H145" s="2">
        <v>150</v>
      </c>
      <c r="I145" s="147">
        <f t="shared" si="13"/>
        <v>5</v>
      </c>
      <c r="J145" s="4" t="s">
        <v>30</v>
      </c>
      <c r="K145" s="5">
        <v>46481</v>
      </c>
      <c r="L145" s="123">
        <f t="shared" ca="1" si="15"/>
        <v>46106</v>
      </c>
      <c r="M145" s="145">
        <v>36</v>
      </c>
      <c r="N145" s="150">
        <f t="shared" ca="1" si="14"/>
        <v>12.5</v>
      </c>
      <c r="O145" s="151">
        <f t="shared" ca="1" si="12"/>
        <v>0.34722222222222221</v>
      </c>
      <c r="P145" s="8"/>
      <c r="Q145" s="131" t="s">
        <v>644</v>
      </c>
      <c r="R145" s="144" t="s">
        <v>670</v>
      </c>
    </row>
    <row r="146" spans="1:18" ht="24.95" customHeight="1">
      <c r="A146" s="8" t="s">
        <v>78</v>
      </c>
      <c r="B146" s="8" t="s">
        <v>85</v>
      </c>
      <c r="C146" s="8" t="s">
        <v>74</v>
      </c>
      <c r="D146" s="2" t="s">
        <v>56</v>
      </c>
      <c r="E146" s="3" t="s">
        <v>21</v>
      </c>
      <c r="F146" s="134" t="str">
        <f t="shared" si="11"/>
        <v>GLAMRR Q</v>
      </c>
      <c r="G146" s="2">
        <v>34</v>
      </c>
      <c r="H146" s="2"/>
      <c r="I146" s="147">
        <f t="shared" si="13"/>
        <v>34</v>
      </c>
      <c r="J146" s="4" t="s">
        <v>39</v>
      </c>
      <c r="K146" s="5">
        <v>46481</v>
      </c>
      <c r="L146" s="123">
        <f t="shared" ca="1" si="15"/>
        <v>46106</v>
      </c>
      <c r="M146" s="145">
        <v>36</v>
      </c>
      <c r="N146" s="150">
        <f t="shared" ca="1" si="14"/>
        <v>12.5</v>
      </c>
      <c r="O146" s="151">
        <f t="shared" ca="1" si="12"/>
        <v>0.34722222222222221</v>
      </c>
      <c r="P146" s="8"/>
      <c r="Q146" s="129"/>
      <c r="R146" s="144" t="s">
        <v>670</v>
      </c>
    </row>
    <row r="147" spans="1:18" ht="24.95" customHeight="1">
      <c r="A147" s="8" t="s">
        <v>78</v>
      </c>
      <c r="B147" s="8" t="s">
        <v>85</v>
      </c>
      <c r="C147" s="8" t="s">
        <v>74</v>
      </c>
      <c r="D147" s="2" t="s">
        <v>56</v>
      </c>
      <c r="E147" s="3" t="s">
        <v>21</v>
      </c>
      <c r="F147" s="134" t="str">
        <f t="shared" si="11"/>
        <v>GLAMRR Q</v>
      </c>
      <c r="G147" s="2">
        <v>2</v>
      </c>
      <c r="H147" s="2"/>
      <c r="I147" s="147">
        <f t="shared" si="13"/>
        <v>2</v>
      </c>
      <c r="J147" s="4" t="s">
        <v>39</v>
      </c>
      <c r="K147" s="5">
        <v>46533</v>
      </c>
      <c r="L147" s="123">
        <f t="shared" ca="1" si="15"/>
        <v>46106</v>
      </c>
      <c r="M147" s="145">
        <v>36</v>
      </c>
      <c r="N147" s="150">
        <f t="shared" ca="1" si="14"/>
        <v>14.233333333333333</v>
      </c>
      <c r="O147" s="151">
        <f t="shared" ca="1" si="12"/>
        <v>0.39537037037037037</v>
      </c>
      <c r="P147" s="8"/>
      <c r="Q147" s="129"/>
      <c r="R147" s="144" t="s">
        <v>670</v>
      </c>
    </row>
    <row r="148" spans="1:18" ht="24.95" customHeight="1">
      <c r="A148" s="8" t="s">
        <v>78</v>
      </c>
      <c r="B148" s="8" t="s">
        <v>85</v>
      </c>
      <c r="C148" s="8" t="s">
        <v>74</v>
      </c>
      <c r="D148" s="2" t="s">
        <v>57</v>
      </c>
      <c r="E148" s="3" t="s">
        <v>58</v>
      </c>
      <c r="F148" s="134" t="str">
        <f t="shared" si="11"/>
        <v>GLAMRR Q</v>
      </c>
      <c r="G148" s="2">
        <f>12*6+2</f>
        <v>74</v>
      </c>
      <c r="H148" s="2"/>
      <c r="I148" s="147">
        <f t="shared" si="13"/>
        <v>74</v>
      </c>
      <c r="J148" s="4" t="s">
        <v>39</v>
      </c>
      <c r="K148" s="5">
        <v>46484</v>
      </c>
      <c r="L148" s="123">
        <f t="shared" ca="1" si="15"/>
        <v>46106</v>
      </c>
      <c r="M148" s="145">
        <v>36</v>
      </c>
      <c r="N148" s="150">
        <f t="shared" ca="1" si="14"/>
        <v>12.6</v>
      </c>
      <c r="O148" s="151">
        <f t="shared" ca="1" si="12"/>
        <v>0.35</v>
      </c>
      <c r="P148" s="8"/>
      <c r="Q148" s="129"/>
      <c r="R148" s="144" t="s">
        <v>670</v>
      </c>
    </row>
    <row r="149" spans="1:18" ht="24.95" customHeight="1">
      <c r="A149" s="8" t="s">
        <v>78</v>
      </c>
      <c r="B149" s="8" t="s">
        <v>85</v>
      </c>
      <c r="C149" s="8" t="s">
        <v>74</v>
      </c>
      <c r="D149" s="2" t="s">
        <v>57</v>
      </c>
      <c r="E149" s="3" t="s">
        <v>58</v>
      </c>
      <c r="F149" s="134" t="str">
        <f t="shared" si="11"/>
        <v>GLAMRR Q</v>
      </c>
      <c r="G149" s="2">
        <v>7</v>
      </c>
      <c r="H149" s="2">
        <v>1</v>
      </c>
      <c r="I149" s="147">
        <f t="shared" si="13"/>
        <v>6</v>
      </c>
      <c r="J149" s="4" t="s">
        <v>39</v>
      </c>
      <c r="K149" s="5">
        <v>46501</v>
      </c>
      <c r="L149" s="123">
        <f t="shared" ca="1" si="15"/>
        <v>46106</v>
      </c>
      <c r="M149" s="145">
        <v>36</v>
      </c>
      <c r="N149" s="150">
        <f t="shared" ca="1" si="14"/>
        <v>13.166666666666666</v>
      </c>
      <c r="O149" s="151">
        <f t="shared" ca="1" si="12"/>
        <v>0.3657407407407407</v>
      </c>
      <c r="P149" s="8"/>
      <c r="Q149" s="131" t="s">
        <v>643</v>
      </c>
      <c r="R149" s="144" t="s">
        <v>670</v>
      </c>
    </row>
    <row r="150" spans="1:18" ht="24.95" customHeight="1">
      <c r="A150" s="8" t="s">
        <v>78</v>
      </c>
      <c r="B150" s="8" t="s">
        <v>85</v>
      </c>
      <c r="C150" s="8" t="s">
        <v>74</v>
      </c>
      <c r="D150" s="2" t="s">
        <v>59</v>
      </c>
      <c r="E150" s="3" t="s">
        <v>60</v>
      </c>
      <c r="F150" s="134" t="str">
        <f t="shared" si="11"/>
        <v>GLAMRR Q</v>
      </c>
      <c r="G150" s="2">
        <v>6</v>
      </c>
      <c r="H150" s="2"/>
      <c r="I150" s="147">
        <f t="shared" si="13"/>
        <v>6</v>
      </c>
      <c r="J150" s="4" t="s">
        <v>39</v>
      </c>
      <c r="K150" s="5">
        <v>46237</v>
      </c>
      <c r="L150" s="123">
        <f t="shared" ca="1" si="15"/>
        <v>46106</v>
      </c>
      <c r="M150" s="145">
        <v>36</v>
      </c>
      <c r="N150" s="150">
        <f t="shared" ca="1" si="14"/>
        <v>4.3666666666666663</v>
      </c>
      <c r="O150" s="151">
        <f t="shared" ca="1" si="12"/>
        <v>0.12129629629629629</v>
      </c>
      <c r="P150" s="8"/>
      <c r="Q150" s="129"/>
      <c r="R150" s="144" t="s">
        <v>670</v>
      </c>
    </row>
    <row r="151" spans="1:18" ht="24.95" customHeight="1">
      <c r="A151" s="8" t="s">
        <v>78</v>
      </c>
      <c r="B151" s="8" t="s">
        <v>85</v>
      </c>
      <c r="C151" s="8" t="s">
        <v>74</v>
      </c>
      <c r="D151" s="2" t="s">
        <v>59</v>
      </c>
      <c r="E151" s="3" t="s">
        <v>60</v>
      </c>
      <c r="F151" s="134" t="str">
        <f t="shared" si="11"/>
        <v>GLAMRR Q</v>
      </c>
      <c r="G151" s="2">
        <v>23</v>
      </c>
      <c r="H151" s="2"/>
      <c r="I151" s="147">
        <f t="shared" si="13"/>
        <v>23</v>
      </c>
      <c r="J151" s="4" t="s">
        <v>39</v>
      </c>
      <c r="K151" s="5">
        <v>46310</v>
      </c>
      <c r="L151" s="123">
        <f t="shared" ca="1" si="15"/>
        <v>46106</v>
      </c>
      <c r="M151" s="145">
        <v>36</v>
      </c>
      <c r="N151" s="150">
        <f t="shared" ca="1" si="14"/>
        <v>6.8</v>
      </c>
      <c r="O151" s="151">
        <f t="shared" ca="1" si="12"/>
        <v>0.18888888888888888</v>
      </c>
      <c r="P151" s="8"/>
      <c r="Q151" s="129"/>
      <c r="R151" s="144" t="s">
        <v>670</v>
      </c>
    </row>
    <row r="152" spans="1:18" ht="24.95" customHeight="1">
      <c r="A152" s="8" t="s">
        <v>78</v>
      </c>
      <c r="B152" s="8" t="s">
        <v>85</v>
      </c>
      <c r="C152" s="8" t="s">
        <v>74</v>
      </c>
      <c r="D152" s="2" t="s">
        <v>59</v>
      </c>
      <c r="E152" s="3" t="s">
        <v>60</v>
      </c>
      <c r="F152" s="134" t="str">
        <f t="shared" si="11"/>
        <v>GLAMRR Q</v>
      </c>
      <c r="G152" s="2">
        <f>3*4+2</f>
        <v>14</v>
      </c>
      <c r="H152" s="2"/>
      <c r="I152" s="147">
        <f t="shared" si="13"/>
        <v>14</v>
      </c>
      <c r="J152" s="4" t="s">
        <v>39</v>
      </c>
      <c r="K152" s="5">
        <v>46352</v>
      </c>
      <c r="L152" s="123">
        <f t="shared" ca="1" si="15"/>
        <v>46106</v>
      </c>
      <c r="M152" s="145">
        <v>36</v>
      </c>
      <c r="N152" s="150">
        <f t="shared" ca="1" si="14"/>
        <v>8.1999999999999993</v>
      </c>
      <c r="O152" s="151">
        <f t="shared" ca="1" si="12"/>
        <v>0.22777777777777775</v>
      </c>
      <c r="P152" s="8"/>
      <c r="Q152" s="129"/>
      <c r="R152" s="144" t="s">
        <v>670</v>
      </c>
    </row>
    <row r="153" spans="1:18" ht="24.95" customHeight="1">
      <c r="A153" s="8" t="s">
        <v>78</v>
      </c>
      <c r="B153" s="8" t="s">
        <v>85</v>
      </c>
      <c r="C153" s="8" t="s">
        <v>74</v>
      </c>
      <c r="D153" s="2" t="s">
        <v>59</v>
      </c>
      <c r="E153" s="3" t="s">
        <v>60</v>
      </c>
      <c r="F153" s="134" t="str">
        <f t="shared" si="11"/>
        <v>GLAMRR Q</v>
      </c>
      <c r="G153" s="2">
        <v>32</v>
      </c>
      <c r="H153" s="2">
        <v>1</v>
      </c>
      <c r="I153" s="147">
        <f t="shared" si="13"/>
        <v>31</v>
      </c>
      <c r="J153" s="4" t="s">
        <v>39</v>
      </c>
      <c r="K153" s="5">
        <v>46488</v>
      </c>
      <c r="L153" s="123">
        <f t="shared" ca="1" si="15"/>
        <v>46106</v>
      </c>
      <c r="M153" s="145">
        <v>36</v>
      </c>
      <c r="N153" s="150">
        <f t="shared" ca="1" si="14"/>
        <v>12.733333333333333</v>
      </c>
      <c r="O153" s="151">
        <f t="shared" ca="1" si="12"/>
        <v>0.35370370370370369</v>
      </c>
      <c r="P153" s="8"/>
      <c r="Q153" s="131" t="s">
        <v>643</v>
      </c>
      <c r="R153" s="144" t="s">
        <v>670</v>
      </c>
    </row>
    <row r="154" spans="1:18" ht="24.95" customHeight="1">
      <c r="A154" s="8" t="s">
        <v>78</v>
      </c>
      <c r="B154" s="8" t="s">
        <v>85</v>
      </c>
      <c r="C154" s="8" t="s">
        <v>74</v>
      </c>
      <c r="D154" s="2" t="s">
        <v>61</v>
      </c>
      <c r="E154" s="3" t="s">
        <v>62</v>
      </c>
      <c r="F154" s="134" t="str">
        <f t="shared" si="11"/>
        <v>GLAMRR Q</v>
      </c>
      <c r="G154" s="2">
        <v>40</v>
      </c>
      <c r="H154" s="2"/>
      <c r="I154" s="147">
        <f t="shared" si="13"/>
        <v>40</v>
      </c>
      <c r="J154" s="4" t="s">
        <v>39</v>
      </c>
      <c r="K154" s="5">
        <v>46306</v>
      </c>
      <c r="L154" s="123">
        <f t="shared" ca="1" si="15"/>
        <v>46106</v>
      </c>
      <c r="M154" s="145">
        <v>36</v>
      </c>
      <c r="N154" s="150">
        <f t="shared" ca="1" si="14"/>
        <v>6.666666666666667</v>
      </c>
      <c r="O154" s="151">
        <f t="shared" ca="1" si="12"/>
        <v>0.1851851851851852</v>
      </c>
      <c r="P154" s="8"/>
      <c r="Q154" s="129"/>
      <c r="R154" s="144" t="s">
        <v>670</v>
      </c>
    </row>
    <row r="155" spans="1:18" ht="24.95" customHeight="1">
      <c r="A155" s="8" t="s">
        <v>78</v>
      </c>
      <c r="B155" s="8" t="s">
        <v>85</v>
      </c>
      <c r="C155" s="8" t="s">
        <v>74</v>
      </c>
      <c r="D155" s="2" t="s">
        <v>61</v>
      </c>
      <c r="E155" s="3" t="s">
        <v>62</v>
      </c>
      <c r="F155" s="134" t="str">
        <f t="shared" si="11"/>
        <v>GLAMRR Q</v>
      </c>
      <c r="G155" s="2">
        <v>40</v>
      </c>
      <c r="H155" s="2">
        <v>1</v>
      </c>
      <c r="I155" s="147">
        <f t="shared" si="13"/>
        <v>39</v>
      </c>
      <c r="J155" s="4" t="s">
        <v>39</v>
      </c>
      <c r="K155" s="5">
        <v>46449</v>
      </c>
      <c r="L155" s="123">
        <f t="shared" ca="1" si="15"/>
        <v>46106</v>
      </c>
      <c r="M155" s="145">
        <v>36</v>
      </c>
      <c r="N155" s="150">
        <f t="shared" ca="1" si="14"/>
        <v>11.433333333333334</v>
      </c>
      <c r="O155" s="151">
        <f t="shared" ca="1" si="12"/>
        <v>0.31759259259259259</v>
      </c>
      <c r="P155" s="8"/>
      <c r="Q155" s="131" t="s">
        <v>643</v>
      </c>
      <c r="R155" s="144" t="s">
        <v>670</v>
      </c>
    </row>
    <row r="156" spans="1:18" ht="24.95" customHeight="1">
      <c r="A156" s="8" t="s">
        <v>78</v>
      </c>
      <c r="B156" s="8" t="s">
        <v>85</v>
      </c>
      <c r="C156" s="8" t="s">
        <v>74</v>
      </c>
      <c r="D156" s="2" t="s">
        <v>63</v>
      </c>
      <c r="E156" s="3" t="s">
        <v>64</v>
      </c>
      <c r="F156" s="134" t="str">
        <f t="shared" si="11"/>
        <v>GLAMRR Q</v>
      </c>
      <c r="G156" s="2">
        <f>9*4</f>
        <v>36</v>
      </c>
      <c r="H156" s="2"/>
      <c r="I156" s="147">
        <f t="shared" si="13"/>
        <v>36</v>
      </c>
      <c r="J156" s="4" t="s">
        <v>39</v>
      </c>
      <c r="K156" s="5">
        <v>46328</v>
      </c>
      <c r="L156" s="123">
        <f t="shared" ca="1" si="15"/>
        <v>46106</v>
      </c>
      <c r="M156" s="145">
        <v>36</v>
      </c>
      <c r="N156" s="150">
        <f t="shared" ca="1" si="14"/>
        <v>7.4</v>
      </c>
      <c r="O156" s="151">
        <f t="shared" ca="1" si="12"/>
        <v>0.20555555555555557</v>
      </c>
      <c r="P156" s="8"/>
      <c r="Q156" s="129"/>
      <c r="R156" s="144" t="s">
        <v>670</v>
      </c>
    </row>
    <row r="157" spans="1:18" ht="24.95" customHeight="1">
      <c r="A157" s="8" t="s">
        <v>78</v>
      </c>
      <c r="B157" s="8" t="s">
        <v>85</v>
      </c>
      <c r="C157" s="8" t="s">
        <v>74</v>
      </c>
      <c r="D157" s="2" t="s">
        <v>63</v>
      </c>
      <c r="E157" s="3" t="s">
        <v>64</v>
      </c>
      <c r="F157" s="134" t="str">
        <f t="shared" si="11"/>
        <v>GLAMRR Q</v>
      </c>
      <c r="G157" s="2">
        <v>52</v>
      </c>
      <c r="H157" s="2">
        <v>1</v>
      </c>
      <c r="I157" s="147">
        <f t="shared" si="13"/>
        <v>51</v>
      </c>
      <c r="J157" s="4" t="s">
        <v>39</v>
      </c>
      <c r="K157" s="5">
        <v>46488</v>
      </c>
      <c r="L157" s="123">
        <f t="shared" ca="1" si="15"/>
        <v>46106</v>
      </c>
      <c r="M157" s="145">
        <v>36</v>
      </c>
      <c r="N157" s="150">
        <f t="shared" ca="1" si="14"/>
        <v>12.733333333333333</v>
      </c>
      <c r="O157" s="151">
        <f t="shared" ca="1" si="12"/>
        <v>0.35370370370370369</v>
      </c>
      <c r="P157" s="8"/>
      <c r="Q157" s="131" t="s">
        <v>643</v>
      </c>
      <c r="R157" s="144" t="s">
        <v>670</v>
      </c>
    </row>
    <row r="158" spans="1:18" ht="24.95" customHeight="1">
      <c r="A158" s="8" t="s">
        <v>78</v>
      </c>
      <c r="B158" s="8" t="s">
        <v>85</v>
      </c>
      <c r="C158" s="8" t="s">
        <v>74</v>
      </c>
      <c r="D158" s="2" t="s">
        <v>65</v>
      </c>
      <c r="E158" s="3" t="s">
        <v>22</v>
      </c>
      <c r="F158" s="134" t="str">
        <f t="shared" si="11"/>
        <v>GLAMRR Q</v>
      </c>
      <c r="G158" s="2">
        <v>13</v>
      </c>
      <c r="H158" s="2"/>
      <c r="I158" s="147">
        <f t="shared" si="13"/>
        <v>13</v>
      </c>
      <c r="J158" s="4" t="s">
        <v>39</v>
      </c>
      <c r="K158" s="5">
        <v>46328</v>
      </c>
      <c r="L158" s="123">
        <f t="shared" ca="1" si="15"/>
        <v>46106</v>
      </c>
      <c r="M158" s="145">
        <v>36</v>
      </c>
      <c r="N158" s="150">
        <f t="shared" ca="1" si="14"/>
        <v>7.4</v>
      </c>
      <c r="O158" s="151">
        <f t="shared" ca="1" si="12"/>
        <v>0.20555555555555557</v>
      </c>
      <c r="P158" s="8"/>
      <c r="Q158" s="129"/>
      <c r="R158" s="144" t="s">
        <v>670</v>
      </c>
    </row>
    <row r="159" spans="1:18" ht="24.95" customHeight="1">
      <c r="A159" s="8" t="s">
        <v>78</v>
      </c>
      <c r="B159" s="8" t="s">
        <v>85</v>
      </c>
      <c r="C159" s="8" t="s">
        <v>74</v>
      </c>
      <c r="D159" s="2" t="s">
        <v>66</v>
      </c>
      <c r="E159" s="3" t="s">
        <v>67</v>
      </c>
      <c r="F159" s="134" t="str">
        <f t="shared" si="11"/>
        <v>GLAMRR Q</v>
      </c>
      <c r="G159" s="2">
        <f>4*3+1</f>
        <v>13</v>
      </c>
      <c r="H159" s="2"/>
      <c r="I159" s="147">
        <f t="shared" si="13"/>
        <v>13</v>
      </c>
      <c r="J159" s="4" t="s">
        <v>39</v>
      </c>
      <c r="K159" s="5">
        <v>46237</v>
      </c>
      <c r="L159" s="123">
        <f t="shared" ca="1" si="15"/>
        <v>46106</v>
      </c>
      <c r="M159" s="145">
        <v>36</v>
      </c>
      <c r="N159" s="150">
        <f t="shared" ca="1" si="14"/>
        <v>4.3666666666666663</v>
      </c>
      <c r="O159" s="151">
        <f t="shared" ca="1" si="12"/>
        <v>0.12129629629629629</v>
      </c>
      <c r="P159" s="8"/>
      <c r="Q159" s="129"/>
      <c r="R159" s="144" t="s">
        <v>670</v>
      </c>
    </row>
    <row r="160" spans="1:18" ht="24.95" customHeight="1">
      <c r="A160" s="8" t="s">
        <v>78</v>
      </c>
      <c r="B160" s="8" t="s">
        <v>85</v>
      </c>
      <c r="C160" s="8" t="s">
        <v>74</v>
      </c>
      <c r="D160" s="2" t="s">
        <v>66</v>
      </c>
      <c r="E160" s="3" t="s">
        <v>67</v>
      </c>
      <c r="F160" s="134" t="str">
        <f t="shared" si="11"/>
        <v>GLAMRR Q</v>
      </c>
      <c r="G160" s="2">
        <v>15</v>
      </c>
      <c r="H160" s="2"/>
      <c r="I160" s="147">
        <f t="shared" si="13"/>
        <v>15</v>
      </c>
      <c r="J160" s="4" t="s">
        <v>39</v>
      </c>
      <c r="K160" s="5">
        <v>46305</v>
      </c>
      <c r="L160" s="123">
        <f t="shared" ca="1" si="15"/>
        <v>46106</v>
      </c>
      <c r="M160" s="145">
        <v>36</v>
      </c>
      <c r="N160" s="150">
        <f t="shared" ca="1" si="14"/>
        <v>6.6333333333333337</v>
      </c>
      <c r="O160" s="151">
        <f t="shared" ca="1" si="12"/>
        <v>0.18425925925925926</v>
      </c>
      <c r="P160" s="8"/>
      <c r="Q160" s="129"/>
      <c r="R160" s="144" t="s">
        <v>670</v>
      </c>
    </row>
    <row r="161" spans="1:18" ht="24.95" customHeight="1">
      <c r="A161" s="8" t="s">
        <v>78</v>
      </c>
      <c r="B161" s="8" t="s">
        <v>85</v>
      </c>
      <c r="C161" s="8" t="s">
        <v>74</v>
      </c>
      <c r="D161" s="2" t="s">
        <v>66</v>
      </c>
      <c r="E161" s="3" t="s">
        <v>67</v>
      </c>
      <c r="F161" s="134" t="str">
        <f t="shared" si="11"/>
        <v>GLAMRR Q</v>
      </c>
      <c r="G161" s="2">
        <f>6*4+3</f>
        <v>27</v>
      </c>
      <c r="H161" s="2"/>
      <c r="I161" s="147">
        <f t="shared" si="13"/>
        <v>27</v>
      </c>
      <c r="J161" s="4" t="s">
        <v>39</v>
      </c>
      <c r="K161" s="5">
        <v>46352</v>
      </c>
      <c r="L161" s="123">
        <f t="shared" ca="1" si="15"/>
        <v>46106</v>
      </c>
      <c r="M161" s="145">
        <v>36</v>
      </c>
      <c r="N161" s="150">
        <f t="shared" ca="1" si="14"/>
        <v>8.1999999999999993</v>
      </c>
      <c r="O161" s="151">
        <f t="shared" ca="1" si="12"/>
        <v>0.22777777777777775</v>
      </c>
      <c r="P161" s="8"/>
      <c r="Q161" s="129"/>
      <c r="R161" s="144" t="s">
        <v>670</v>
      </c>
    </row>
    <row r="162" spans="1:18" ht="24.95" customHeight="1">
      <c r="A162" s="8" t="s">
        <v>78</v>
      </c>
      <c r="B162" s="8" t="s">
        <v>85</v>
      </c>
      <c r="C162" s="8" t="s">
        <v>74</v>
      </c>
      <c r="D162" s="2" t="s">
        <v>66</v>
      </c>
      <c r="E162" s="3" t="s">
        <v>67</v>
      </c>
      <c r="F162" s="134" t="str">
        <f t="shared" si="11"/>
        <v>GLAMRR Q</v>
      </c>
      <c r="G162" s="2">
        <v>22</v>
      </c>
      <c r="H162" s="2"/>
      <c r="I162" s="147">
        <f t="shared" si="13"/>
        <v>22</v>
      </c>
      <c r="J162" s="4" t="s">
        <v>39</v>
      </c>
      <c r="K162" s="5">
        <v>46488</v>
      </c>
      <c r="L162" s="123">
        <f t="shared" ca="1" si="15"/>
        <v>46106</v>
      </c>
      <c r="M162" s="145">
        <v>36</v>
      </c>
      <c r="N162" s="150">
        <f t="shared" ca="1" si="14"/>
        <v>12.733333333333333</v>
      </c>
      <c r="O162" s="151">
        <f t="shared" ca="1" si="12"/>
        <v>0.35370370370370369</v>
      </c>
      <c r="P162" s="8"/>
      <c r="Q162" s="129"/>
      <c r="R162" s="144" t="s">
        <v>670</v>
      </c>
    </row>
    <row r="163" spans="1:18" ht="24.95" customHeight="1">
      <c r="A163" s="8" t="s">
        <v>78</v>
      </c>
      <c r="B163" s="8" t="s">
        <v>85</v>
      </c>
      <c r="C163" s="8" t="s">
        <v>74</v>
      </c>
      <c r="D163" s="6" t="s">
        <v>68</v>
      </c>
      <c r="E163" s="3" t="s">
        <v>23</v>
      </c>
      <c r="F163" s="134" t="str">
        <f t="shared" si="11"/>
        <v>GLAMRR Q</v>
      </c>
      <c r="G163" s="2">
        <v>1</v>
      </c>
      <c r="H163" s="2"/>
      <c r="I163" s="147">
        <f t="shared" si="13"/>
        <v>1</v>
      </c>
      <c r="J163" s="4" t="s">
        <v>39</v>
      </c>
      <c r="K163" s="5">
        <v>46116</v>
      </c>
      <c r="L163" s="123">
        <f t="shared" ca="1" si="15"/>
        <v>46106</v>
      </c>
      <c r="M163" s="145">
        <v>36</v>
      </c>
      <c r="N163" s="150">
        <f t="shared" ca="1" si="14"/>
        <v>0.33333333333333331</v>
      </c>
      <c r="O163" s="151">
        <f t="shared" ca="1" si="12"/>
        <v>9.2592592592592587E-3</v>
      </c>
      <c r="P163" s="8"/>
      <c r="Q163" s="129"/>
      <c r="R163" s="144" t="s">
        <v>670</v>
      </c>
    </row>
    <row r="164" spans="1:18" ht="24.95" customHeight="1">
      <c r="A164" s="8" t="s">
        <v>78</v>
      </c>
      <c r="B164" s="8" t="s">
        <v>85</v>
      </c>
      <c r="C164" s="8" t="s">
        <v>74</v>
      </c>
      <c r="D164" s="2" t="s">
        <v>68</v>
      </c>
      <c r="E164" s="3" t="s">
        <v>23</v>
      </c>
      <c r="F164" s="134" t="str">
        <f t="shared" si="11"/>
        <v>GLAMRR Q</v>
      </c>
      <c r="G164" s="2">
        <v>2</v>
      </c>
      <c r="H164" s="2"/>
      <c r="I164" s="147">
        <f t="shared" si="13"/>
        <v>2</v>
      </c>
      <c r="J164" s="4" t="s">
        <v>39</v>
      </c>
      <c r="K164" s="5">
        <v>46383</v>
      </c>
      <c r="L164" s="123">
        <f t="shared" ca="1" si="15"/>
        <v>46106</v>
      </c>
      <c r="M164" s="145">
        <v>36</v>
      </c>
      <c r="N164" s="150">
        <f t="shared" ca="1" si="14"/>
        <v>9.2333333333333325</v>
      </c>
      <c r="O164" s="151">
        <f t="shared" ca="1" si="12"/>
        <v>0.25648148148148148</v>
      </c>
      <c r="P164" s="8"/>
      <c r="Q164" s="129"/>
      <c r="R164" s="144" t="s">
        <v>670</v>
      </c>
    </row>
    <row r="165" spans="1:18" ht="24.95" customHeight="1">
      <c r="A165" s="8" t="s">
        <v>78</v>
      </c>
      <c r="B165" s="8" t="s">
        <v>85</v>
      </c>
      <c r="C165" s="8" t="s">
        <v>74</v>
      </c>
      <c r="D165" s="2" t="s">
        <v>68</v>
      </c>
      <c r="E165" s="3" t="s">
        <v>23</v>
      </c>
      <c r="F165" s="134" t="str">
        <f t="shared" si="11"/>
        <v>GLAMRR Q</v>
      </c>
      <c r="G165" s="2">
        <v>1</v>
      </c>
      <c r="H165" s="2"/>
      <c r="I165" s="147">
        <f t="shared" si="13"/>
        <v>1</v>
      </c>
      <c r="J165" s="4" t="s">
        <v>39</v>
      </c>
      <c r="K165" s="5">
        <v>46438</v>
      </c>
      <c r="L165" s="123">
        <f t="shared" ca="1" si="15"/>
        <v>46106</v>
      </c>
      <c r="M165" s="145">
        <v>36</v>
      </c>
      <c r="N165" s="150">
        <f t="shared" ca="1" si="14"/>
        <v>11.066666666666666</v>
      </c>
      <c r="O165" s="151">
        <f t="shared" ca="1" si="12"/>
        <v>0.30740740740740741</v>
      </c>
      <c r="P165" s="8"/>
      <c r="Q165" s="129"/>
      <c r="R165" s="144" t="s">
        <v>670</v>
      </c>
    </row>
    <row r="166" spans="1:18" ht="24.95" customHeight="1">
      <c r="A166" s="8" t="s">
        <v>78</v>
      </c>
      <c r="B166" s="8" t="s">
        <v>85</v>
      </c>
      <c r="C166" s="8" t="s">
        <v>74</v>
      </c>
      <c r="D166" s="2" t="s">
        <v>69</v>
      </c>
      <c r="E166" s="3" t="s">
        <v>24</v>
      </c>
      <c r="F166" s="134" t="str">
        <f t="shared" si="11"/>
        <v>GLAMRR Q</v>
      </c>
      <c r="G166" s="2">
        <v>4</v>
      </c>
      <c r="H166" s="2"/>
      <c r="I166" s="147">
        <f t="shared" si="13"/>
        <v>4</v>
      </c>
      <c r="J166" s="4" t="s">
        <v>39</v>
      </c>
      <c r="K166" s="5">
        <v>46136</v>
      </c>
      <c r="L166" s="123">
        <f t="shared" ca="1" si="15"/>
        <v>46106</v>
      </c>
      <c r="M166" s="145">
        <v>36</v>
      </c>
      <c r="N166" s="150">
        <f t="shared" ca="1" si="14"/>
        <v>1</v>
      </c>
      <c r="O166" s="151">
        <f t="shared" ca="1" si="12"/>
        <v>2.7777777777777776E-2</v>
      </c>
      <c r="P166" s="8"/>
      <c r="Q166" s="129"/>
      <c r="R166" s="144" t="s">
        <v>670</v>
      </c>
    </row>
    <row r="167" spans="1:18" ht="24.95" customHeight="1">
      <c r="A167" s="8" t="s">
        <v>78</v>
      </c>
      <c r="B167" s="8" t="s">
        <v>85</v>
      </c>
      <c r="C167" s="8" t="s">
        <v>74</v>
      </c>
      <c r="D167" s="2" t="s">
        <v>70</v>
      </c>
      <c r="E167" s="3" t="s">
        <v>25</v>
      </c>
      <c r="F167" s="134" t="str">
        <f t="shared" si="11"/>
        <v>GLAMRR Q</v>
      </c>
      <c r="G167" s="2">
        <v>1</v>
      </c>
      <c r="H167" s="2"/>
      <c r="I167" s="147">
        <f t="shared" si="13"/>
        <v>1</v>
      </c>
      <c r="J167" s="4" t="s">
        <v>39</v>
      </c>
      <c r="K167" s="5">
        <v>46380</v>
      </c>
      <c r="L167" s="123">
        <f t="shared" ca="1" si="15"/>
        <v>46106</v>
      </c>
      <c r="M167" s="145">
        <v>36</v>
      </c>
      <c r="N167" s="150">
        <f t="shared" ca="1" si="14"/>
        <v>9.1333333333333329</v>
      </c>
      <c r="O167" s="151">
        <f t="shared" ca="1" si="12"/>
        <v>0.25370370370370371</v>
      </c>
      <c r="P167" s="8"/>
      <c r="Q167" s="129"/>
      <c r="R167" s="144" t="s">
        <v>670</v>
      </c>
    </row>
    <row r="168" spans="1:18" ht="24.95" customHeight="1">
      <c r="A168" s="8" t="s">
        <v>78</v>
      </c>
      <c r="B168" s="8" t="s">
        <v>85</v>
      </c>
      <c r="C168" s="8" t="s">
        <v>74</v>
      </c>
      <c r="D168" s="2" t="s">
        <v>70</v>
      </c>
      <c r="E168" s="3" t="s">
        <v>25</v>
      </c>
      <c r="F168" s="134" t="str">
        <f t="shared" si="11"/>
        <v>GLAMRR Q</v>
      </c>
      <c r="G168" s="2">
        <v>1</v>
      </c>
      <c r="H168" s="2"/>
      <c r="I168" s="147">
        <f t="shared" si="13"/>
        <v>1</v>
      </c>
      <c r="J168" s="4" t="s">
        <v>30</v>
      </c>
      <c r="K168" s="5">
        <v>46452</v>
      </c>
      <c r="L168" s="123">
        <f t="shared" ca="1" si="15"/>
        <v>46106</v>
      </c>
      <c r="M168" s="145">
        <v>36</v>
      </c>
      <c r="N168" s="150">
        <f t="shared" ca="1" si="14"/>
        <v>11.533333333333333</v>
      </c>
      <c r="O168" s="151">
        <f t="shared" ca="1" si="12"/>
        <v>0.32037037037037036</v>
      </c>
      <c r="P168" s="8"/>
      <c r="Q168" s="129"/>
      <c r="R168" s="144" t="s">
        <v>670</v>
      </c>
    </row>
    <row r="169" spans="1:18" ht="24.95" customHeight="1">
      <c r="A169" s="8" t="s">
        <v>78</v>
      </c>
      <c r="B169" s="8" t="s">
        <v>85</v>
      </c>
      <c r="C169" s="8" t="s">
        <v>74</v>
      </c>
      <c r="D169" s="2" t="s">
        <v>71</v>
      </c>
      <c r="E169" s="3" t="s">
        <v>26</v>
      </c>
      <c r="F169" s="134" t="str">
        <f t="shared" si="11"/>
        <v>GLAMRR Q</v>
      </c>
      <c r="G169" s="2">
        <v>2</v>
      </c>
      <c r="H169" s="2"/>
      <c r="I169" s="147">
        <f t="shared" si="13"/>
        <v>2</v>
      </c>
      <c r="J169" s="4" t="s">
        <v>39</v>
      </c>
      <c r="K169" s="5">
        <v>46090</v>
      </c>
      <c r="L169" s="123">
        <f t="shared" ca="1" si="15"/>
        <v>46106</v>
      </c>
      <c r="M169" s="145">
        <v>36</v>
      </c>
      <c r="N169" s="150">
        <f t="shared" ca="1" si="14"/>
        <v>-0.53333333333333333</v>
      </c>
      <c r="O169" s="151">
        <f t="shared" ca="1" si="12"/>
        <v>-1.4814814814814815E-2</v>
      </c>
      <c r="P169" s="8"/>
      <c r="Q169" s="129"/>
      <c r="R169" s="144" t="s">
        <v>670</v>
      </c>
    </row>
    <row r="170" spans="1:18" ht="24.95" customHeight="1">
      <c r="A170" s="8" t="s">
        <v>78</v>
      </c>
      <c r="B170" s="8" t="s">
        <v>85</v>
      </c>
      <c r="C170" s="8" t="s">
        <v>74</v>
      </c>
      <c r="D170" s="2" t="s">
        <v>71</v>
      </c>
      <c r="E170" s="3" t="s">
        <v>26</v>
      </c>
      <c r="F170" s="134" t="str">
        <f t="shared" si="11"/>
        <v>GLAMRR Q</v>
      </c>
      <c r="G170" s="2">
        <v>1</v>
      </c>
      <c r="H170" s="2"/>
      <c r="I170" s="147">
        <f t="shared" si="13"/>
        <v>1</v>
      </c>
      <c r="J170" s="4" t="s">
        <v>39</v>
      </c>
      <c r="K170" s="5">
        <v>46356</v>
      </c>
      <c r="L170" s="123">
        <f t="shared" ca="1" si="15"/>
        <v>46106</v>
      </c>
      <c r="M170" s="145">
        <v>36</v>
      </c>
      <c r="N170" s="150">
        <f t="shared" ca="1" si="14"/>
        <v>8.3333333333333339</v>
      </c>
      <c r="O170" s="151">
        <f t="shared" ca="1" si="12"/>
        <v>0.23148148148148151</v>
      </c>
      <c r="P170" s="8"/>
      <c r="Q170" s="129"/>
      <c r="R170" s="144" t="s">
        <v>670</v>
      </c>
    </row>
    <row r="171" spans="1:18" ht="24.95" customHeight="1">
      <c r="A171" s="8" t="s">
        <v>78</v>
      </c>
      <c r="B171" s="8" t="s">
        <v>85</v>
      </c>
      <c r="C171" s="8" t="s">
        <v>74</v>
      </c>
      <c r="D171" s="2" t="s">
        <v>71</v>
      </c>
      <c r="E171" s="3" t="s">
        <v>26</v>
      </c>
      <c r="F171" s="134" t="str">
        <f t="shared" si="11"/>
        <v>GLAMRR Q</v>
      </c>
      <c r="G171" s="2">
        <v>4</v>
      </c>
      <c r="H171" s="2"/>
      <c r="I171" s="147">
        <f t="shared" si="13"/>
        <v>4</v>
      </c>
      <c r="J171" s="4" t="s">
        <v>39</v>
      </c>
      <c r="K171" s="5">
        <v>46452</v>
      </c>
      <c r="L171" s="123">
        <f t="shared" ca="1" si="15"/>
        <v>46106</v>
      </c>
      <c r="M171" s="145">
        <v>36</v>
      </c>
      <c r="N171" s="150">
        <f t="shared" ca="1" si="14"/>
        <v>11.533333333333333</v>
      </c>
      <c r="O171" s="151">
        <f t="shared" ca="1" si="12"/>
        <v>0.32037037037037036</v>
      </c>
      <c r="P171" s="8"/>
      <c r="Q171" s="129"/>
      <c r="R171" s="144" t="s">
        <v>670</v>
      </c>
    </row>
    <row r="172" spans="1:18" ht="24.95" customHeight="1">
      <c r="A172" s="8" t="s">
        <v>78</v>
      </c>
      <c r="B172" s="8" t="s">
        <v>85</v>
      </c>
      <c r="C172" s="8" t="s">
        <v>73</v>
      </c>
      <c r="D172" s="7">
        <v>8809203078210</v>
      </c>
      <c r="E172" s="3" t="s">
        <v>37</v>
      </c>
      <c r="F172" s="134" t="str">
        <f t="shared" si="11"/>
        <v>GILAA</v>
      </c>
      <c r="G172" s="2">
        <v>61</v>
      </c>
      <c r="H172" s="2"/>
      <c r="I172" s="147">
        <f t="shared" si="13"/>
        <v>61</v>
      </c>
      <c r="J172" s="4" t="s">
        <v>72</v>
      </c>
      <c r="K172" s="5">
        <v>46268</v>
      </c>
      <c r="L172" s="123">
        <f t="shared" ca="1" si="15"/>
        <v>46106</v>
      </c>
      <c r="M172" s="145">
        <v>36</v>
      </c>
      <c r="N172" s="150">
        <f t="shared" ca="1" si="14"/>
        <v>5.4</v>
      </c>
      <c r="O172" s="151">
        <f t="shared" ca="1" si="12"/>
        <v>0.15000000000000002</v>
      </c>
      <c r="P172" s="8"/>
      <c r="Q172" s="129" t="s">
        <v>656</v>
      </c>
      <c r="R172" s="144" t="s">
        <v>670</v>
      </c>
    </row>
    <row r="173" spans="1:18" ht="24.95" customHeight="1">
      <c r="A173" s="8" t="s">
        <v>78</v>
      </c>
      <c r="B173" s="8" t="s">
        <v>85</v>
      </c>
      <c r="C173" s="8" t="s">
        <v>73</v>
      </c>
      <c r="D173" s="7">
        <v>8809203078210</v>
      </c>
      <c r="E173" s="3" t="s">
        <v>37</v>
      </c>
      <c r="F173" s="134" t="str">
        <f t="shared" si="11"/>
        <v>GILAA</v>
      </c>
      <c r="G173" s="2">
        <v>18</v>
      </c>
      <c r="H173" s="2"/>
      <c r="I173" s="147">
        <f t="shared" si="13"/>
        <v>18</v>
      </c>
      <c r="J173" s="4" t="s">
        <v>72</v>
      </c>
      <c r="K173" s="5">
        <v>46344</v>
      </c>
      <c r="L173" s="123">
        <f t="shared" ca="1" si="15"/>
        <v>46106</v>
      </c>
      <c r="M173" s="145">
        <v>36</v>
      </c>
      <c r="N173" s="150">
        <f t="shared" ca="1" si="14"/>
        <v>7.9333333333333336</v>
      </c>
      <c r="O173" s="151">
        <f t="shared" ca="1" si="12"/>
        <v>0.22037037037037038</v>
      </c>
      <c r="P173" s="8"/>
      <c r="Q173" s="129" t="s">
        <v>656</v>
      </c>
      <c r="R173" s="144" t="s">
        <v>670</v>
      </c>
    </row>
    <row r="174" spans="1:18" ht="24.95" customHeight="1">
      <c r="A174" s="8" t="s">
        <v>78</v>
      </c>
      <c r="B174" s="8" t="s">
        <v>85</v>
      </c>
      <c r="C174" s="8" t="s">
        <v>73</v>
      </c>
      <c r="D174" s="7">
        <v>8809491946154</v>
      </c>
      <c r="E174" s="3" t="s">
        <v>6</v>
      </c>
      <c r="F174" s="134" t="str">
        <f t="shared" si="11"/>
        <v>GLAMRR Q</v>
      </c>
      <c r="G174" s="2">
        <v>3</v>
      </c>
      <c r="H174" s="2"/>
      <c r="I174" s="147">
        <f t="shared" si="13"/>
        <v>3</v>
      </c>
      <c r="J174" s="4" t="s">
        <v>72</v>
      </c>
      <c r="K174" s="5">
        <v>46349</v>
      </c>
      <c r="L174" s="123">
        <f t="shared" ca="1" si="15"/>
        <v>46106</v>
      </c>
      <c r="M174" s="145">
        <v>36</v>
      </c>
      <c r="N174" s="150">
        <f t="shared" ca="1" si="14"/>
        <v>8.1</v>
      </c>
      <c r="O174" s="151">
        <f t="shared" ca="1" si="12"/>
        <v>0.22499999999999998</v>
      </c>
      <c r="P174" s="8"/>
      <c r="Q174" s="129"/>
      <c r="R174" s="144" t="s">
        <v>670</v>
      </c>
    </row>
    <row r="175" spans="1:18" ht="24.95" customHeight="1">
      <c r="A175" s="8" t="s">
        <v>78</v>
      </c>
      <c r="B175" s="8" t="s">
        <v>85</v>
      </c>
      <c r="C175" s="8" t="s">
        <v>73</v>
      </c>
      <c r="D175" s="7">
        <v>8809491946154</v>
      </c>
      <c r="E175" s="3" t="s">
        <v>6</v>
      </c>
      <c r="F175" s="134" t="str">
        <f t="shared" si="11"/>
        <v>GLAMRR Q</v>
      </c>
      <c r="G175" s="2">
        <v>1</v>
      </c>
      <c r="H175" s="2"/>
      <c r="I175" s="147">
        <f t="shared" si="13"/>
        <v>1</v>
      </c>
      <c r="J175" s="4" t="s">
        <v>72</v>
      </c>
      <c r="K175" s="5">
        <v>46640</v>
      </c>
      <c r="L175" s="123">
        <f t="shared" ca="1" si="15"/>
        <v>46106</v>
      </c>
      <c r="M175" s="145">
        <v>36</v>
      </c>
      <c r="N175" s="150">
        <f t="shared" ca="1" si="14"/>
        <v>17.8</v>
      </c>
      <c r="O175" s="151">
        <f t="shared" ca="1" si="12"/>
        <v>0.49444444444444446</v>
      </c>
      <c r="P175" s="8"/>
      <c r="Q175" s="129"/>
      <c r="R175" s="144" t="s">
        <v>670</v>
      </c>
    </row>
    <row r="176" spans="1:18" ht="24.95" customHeight="1">
      <c r="A176" s="8" t="s">
        <v>78</v>
      </c>
      <c r="B176" s="8" t="s">
        <v>85</v>
      </c>
      <c r="C176" s="8" t="s">
        <v>73</v>
      </c>
      <c r="D176" s="7">
        <v>8809491946185</v>
      </c>
      <c r="E176" s="3" t="s">
        <v>9</v>
      </c>
      <c r="F176" s="134" t="str">
        <f t="shared" si="11"/>
        <v>GLAMRR Q</v>
      </c>
      <c r="G176" s="2">
        <v>2</v>
      </c>
      <c r="H176" s="2"/>
      <c r="I176" s="147">
        <f t="shared" si="13"/>
        <v>2</v>
      </c>
      <c r="J176" s="4" t="s">
        <v>72</v>
      </c>
      <c r="K176" s="5">
        <v>46349</v>
      </c>
      <c r="L176" s="123">
        <f t="shared" ca="1" si="15"/>
        <v>46106</v>
      </c>
      <c r="M176" s="145">
        <v>36</v>
      </c>
      <c r="N176" s="150">
        <f t="shared" ca="1" si="14"/>
        <v>8.1</v>
      </c>
      <c r="O176" s="151">
        <f t="shared" ca="1" si="12"/>
        <v>0.22499999999999998</v>
      </c>
      <c r="P176" s="8"/>
      <c r="Q176" s="129"/>
      <c r="R176" s="144" t="s">
        <v>670</v>
      </c>
    </row>
    <row r="177" spans="1:18" ht="24.95" customHeight="1">
      <c r="A177" s="8" t="s">
        <v>78</v>
      </c>
      <c r="B177" s="8" t="s">
        <v>85</v>
      </c>
      <c r="C177" s="8" t="s">
        <v>73</v>
      </c>
      <c r="D177" s="7">
        <v>8809491946192</v>
      </c>
      <c r="E177" s="3" t="s">
        <v>10</v>
      </c>
      <c r="F177" s="134" t="str">
        <f t="shared" si="11"/>
        <v>GLAMRR Q</v>
      </c>
      <c r="G177" s="2">
        <v>3</v>
      </c>
      <c r="H177" s="2"/>
      <c r="I177" s="147">
        <f t="shared" si="13"/>
        <v>3</v>
      </c>
      <c r="J177" s="4" t="s">
        <v>72</v>
      </c>
      <c r="K177" s="5">
        <v>46472</v>
      </c>
      <c r="L177" s="123">
        <f t="shared" ca="1" si="15"/>
        <v>46106</v>
      </c>
      <c r="M177" s="145">
        <v>36</v>
      </c>
      <c r="N177" s="150">
        <f t="shared" ca="1" si="14"/>
        <v>12.2</v>
      </c>
      <c r="O177" s="151">
        <f t="shared" ca="1" si="12"/>
        <v>0.33888888888888885</v>
      </c>
      <c r="P177" s="8"/>
      <c r="Q177" s="129"/>
      <c r="R177" s="144" t="s">
        <v>670</v>
      </c>
    </row>
    <row r="178" spans="1:18" ht="24.95" customHeight="1">
      <c r="A178" s="8" t="s">
        <v>78</v>
      </c>
      <c r="B178" s="8" t="s">
        <v>85</v>
      </c>
      <c r="C178" s="8" t="s">
        <v>73</v>
      </c>
      <c r="D178" s="7">
        <v>8809491946192</v>
      </c>
      <c r="E178" s="3" t="s">
        <v>10</v>
      </c>
      <c r="F178" s="134" t="str">
        <f t="shared" si="11"/>
        <v>GLAMRR Q</v>
      </c>
      <c r="G178" s="2">
        <v>3</v>
      </c>
      <c r="H178" s="2"/>
      <c r="I178" s="147">
        <f t="shared" si="13"/>
        <v>3</v>
      </c>
      <c r="J178" s="4" t="s">
        <v>72</v>
      </c>
      <c r="K178" s="5">
        <v>46313</v>
      </c>
      <c r="L178" s="123">
        <f t="shared" ca="1" si="15"/>
        <v>46106</v>
      </c>
      <c r="M178" s="145">
        <v>36</v>
      </c>
      <c r="N178" s="150">
        <f t="shared" ca="1" si="14"/>
        <v>6.9</v>
      </c>
      <c r="O178" s="151">
        <f t="shared" ca="1" si="12"/>
        <v>0.19166666666666668</v>
      </c>
      <c r="P178" s="8"/>
      <c r="Q178" s="129"/>
      <c r="R178" s="144" t="s">
        <v>670</v>
      </c>
    </row>
    <row r="179" spans="1:18" ht="24.95" customHeight="1">
      <c r="A179" s="8" t="s">
        <v>78</v>
      </c>
      <c r="B179" s="8" t="s">
        <v>85</v>
      </c>
      <c r="C179" s="8" t="s">
        <v>73</v>
      </c>
      <c r="D179" s="7">
        <v>8809491946208</v>
      </c>
      <c r="E179" s="3" t="s">
        <v>11</v>
      </c>
      <c r="F179" s="134" t="str">
        <f t="shared" si="11"/>
        <v>GLAMRR Q</v>
      </c>
      <c r="G179" s="2">
        <v>2</v>
      </c>
      <c r="H179" s="2"/>
      <c r="I179" s="147">
        <f t="shared" si="13"/>
        <v>2</v>
      </c>
      <c r="J179" s="4" t="s">
        <v>72</v>
      </c>
      <c r="K179" s="5">
        <v>46349</v>
      </c>
      <c r="L179" s="123">
        <f t="shared" ca="1" si="15"/>
        <v>46106</v>
      </c>
      <c r="M179" s="145">
        <v>36</v>
      </c>
      <c r="N179" s="150">
        <f t="shared" ca="1" si="14"/>
        <v>8.1</v>
      </c>
      <c r="O179" s="151">
        <f t="shared" ca="1" si="12"/>
        <v>0.22499999999999998</v>
      </c>
      <c r="P179" s="8"/>
      <c r="Q179" s="129"/>
      <c r="R179" s="144" t="s">
        <v>670</v>
      </c>
    </row>
    <row r="180" spans="1:18" ht="24.95" customHeight="1">
      <c r="A180" s="8" t="s">
        <v>78</v>
      </c>
      <c r="B180" s="8" t="s">
        <v>85</v>
      </c>
      <c r="C180" s="8" t="s">
        <v>73</v>
      </c>
      <c r="D180" s="7">
        <v>8809491946222</v>
      </c>
      <c r="E180" s="3" t="s">
        <v>13</v>
      </c>
      <c r="F180" s="134" t="str">
        <f t="shared" si="11"/>
        <v>GLAMRR Q</v>
      </c>
      <c r="G180" s="8">
        <v>2</v>
      </c>
      <c r="H180" s="8"/>
      <c r="I180" s="147">
        <f t="shared" si="13"/>
        <v>2</v>
      </c>
      <c r="J180" s="4" t="s">
        <v>72</v>
      </c>
      <c r="K180" s="5">
        <v>46472</v>
      </c>
      <c r="L180" s="123">
        <f t="shared" ca="1" si="15"/>
        <v>46106</v>
      </c>
      <c r="M180" s="145">
        <v>36</v>
      </c>
      <c r="N180" s="150">
        <f t="shared" ca="1" si="14"/>
        <v>12.2</v>
      </c>
      <c r="O180" s="151">
        <f t="shared" ca="1" si="12"/>
        <v>0.33888888888888885</v>
      </c>
      <c r="P180" s="8"/>
      <c r="Q180" s="129"/>
      <c r="R180" s="144" t="s">
        <v>670</v>
      </c>
    </row>
    <row r="181" spans="1:18" ht="24.95" customHeight="1">
      <c r="A181" s="8" t="s">
        <v>78</v>
      </c>
      <c r="B181" s="8" t="s">
        <v>85</v>
      </c>
      <c r="C181" s="8" t="s">
        <v>73</v>
      </c>
      <c r="D181" s="7">
        <v>8809491946222</v>
      </c>
      <c r="E181" s="3" t="s">
        <v>13</v>
      </c>
      <c r="F181" s="134" t="str">
        <f t="shared" si="11"/>
        <v>GLAMRR Q</v>
      </c>
      <c r="G181" s="8">
        <v>3</v>
      </c>
      <c r="H181" s="8"/>
      <c r="I181" s="147">
        <f t="shared" si="13"/>
        <v>3</v>
      </c>
      <c r="J181" s="4" t="s">
        <v>72</v>
      </c>
      <c r="K181" s="5">
        <v>46275</v>
      </c>
      <c r="L181" s="123">
        <f t="shared" ca="1" si="15"/>
        <v>46106</v>
      </c>
      <c r="M181" s="145">
        <v>36</v>
      </c>
      <c r="N181" s="150">
        <f t="shared" ca="1" si="14"/>
        <v>5.6333333333333337</v>
      </c>
      <c r="O181" s="151">
        <f t="shared" ca="1" si="12"/>
        <v>0.1564814814814815</v>
      </c>
      <c r="P181" s="8"/>
      <c r="Q181" s="129"/>
      <c r="R181" s="144" t="s">
        <v>670</v>
      </c>
    </row>
    <row r="182" spans="1:18" ht="24.95" customHeight="1">
      <c r="A182" s="8" t="s">
        <v>78</v>
      </c>
      <c r="B182" s="8" t="s">
        <v>85</v>
      </c>
      <c r="C182" s="8" t="s">
        <v>73</v>
      </c>
      <c r="D182" s="7">
        <v>8809491946239</v>
      </c>
      <c r="E182" s="3" t="s">
        <v>14</v>
      </c>
      <c r="F182" s="134" t="str">
        <f t="shared" si="11"/>
        <v>GLAMRR Q</v>
      </c>
      <c r="G182" s="8">
        <v>3</v>
      </c>
      <c r="H182" s="8"/>
      <c r="I182" s="147">
        <f t="shared" si="13"/>
        <v>3</v>
      </c>
      <c r="J182" s="4" t="s">
        <v>72</v>
      </c>
      <c r="K182" s="5">
        <v>46472</v>
      </c>
      <c r="L182" s="123">
        <f t="shared" ca="1" si="15"/>
        <v>46106</v>
      </c>
      <c r="M182" s="145">
        <v>36</v>
      </c>
      <c r="N182" s="150">
        <f t="shared" ca="1" si="14"/>
        <v>12.2</v>
      </c>
      <c r="O182" s="151">
        <f t="shared" ca="1" si="12"/>
        <v>0.33888888888888885</v>
      </c>
      <c r="P182" s="8"/>
      <c r="Q182" s="129"/>
      <c r="R182" s="144" t="s">
        <v>670</v>
      </c>
    </row>
    <row r="183" spans="1:18" ht="24.95" customHeight="1">
      <c r="A183" s="8" t="s">
        <v>78</v>
      </c>
      <c r="B183" s="8" t="s">
        <v>85</v>
      </c>
      <c r="C183" s="8" t="s">
        <v>73</v>
      </c>
      <c r="D183" s="7">
        <v>8809491946253</v>
      </c>
      <c r="E183" s="3" t="s">
        <v>16</v>
      </c>
      <c r="F183" s="134" t="str">
        <f t="shared" si="11"/>
        <v>GLAMRR Q</v>
      </c>
      <c r="G183" s="2">
        <v>3</v>
      </c>
      <c r="H183" s="2"/>
      <c r="I183" s="147">
        <f t="shared" si="13"/>
        <v>3</v>
      </c>
      <c r="J183" s="4" t="s">
        <v>72</v>
      </c>
      <c r="K183" s="5">
        <v>46352</v>
      </c>
      <c r="L183" s="123">
        <f t="shared" ca="1" si="15"/>
        <v>46106</v>
      </c>
      <c r="M183" s="145">
        <v>36</v>
      </c>
      <c r="N183" s="150">
        <f t="shared" ca="1" si="14"/>
        <v>8.1999999999999993</v>
      </c>
      <c r="O183" s="151">
        <f t="shared" ca="1" si="12"/>
        <v>0.22777777777777775</v>
      </c>
      <c r="P183" s="8"/>
      <c r="Q183" s="129"/>
      <c r="R183" s="144" t="s">
        <v>670</v>
      </c>
    </row>
    <row r="184" spans="1:18" ht="24.95" customHeight="1">
      <c r="A184" s="8" t="s">
        <v>78</v>
      </c>
      <c r="B184" s="8" t="s">
        <v>85</v>
      </c>
      <c r="C184" s="8" t="s">
        <v>73</v>
      </c>
      <c r="D184" s="7">
        <v>8809526841393</v>
      </c>
      <c r="E184" s="3" t="s">
        <v>19</v>
      </c>
      <c r="F184" s="134" t="str">
        <f t="shared" si="11"/>
        <v>GLAMRR Q</v>
      </c>
      <c r="G184" s="2">
        <v>2</v>
      </c>
      <c r="H184" s="2"/>
      <c r="I184" s="147">
        <f t="shared" si="13"/>
        <v>2</v>
      </c>
      <c r="J184" s="4" t="s">
        <v>72</v>
      </c>
      <c r="K184" s="5">
        <v>46325</v>
      </c>
      <c r="L184" s="123">
        <f t="shared" ca="1" si="15"/>
        <v>46106</v>
      </c>
      <c r="M184" s="145">
        <v>36</v>
      </c>
      <c r="N184" s="150">
        <f t="shared" ca="1" si="14"/>
        <v>7.3</v>
      </c>
      <c r="O184" s="151">
        <f t="shared" ca="1" si="12"/>
        <v>0.20277777777777778</v>
      </c>
      <c r="P184" s="8"/>
      <c r="Q184" s="129"/>
      <c r="R184" s="144" t="s">
        <v>670</v>
      </c>
    </row>
    <row r="185" spans="1:18" ht="24.95" customHeight="1">
      <c r="A185" s="8" t="s">
        <v>78</v>
      </c>
      <c r="B185" s="8" t="s">
        <v>85</v>
      </c>
      <c r="C185" s="8" t="s">
        <v>73</v>
      </c>
      <c r="D185" s="7">
        <v>8809526841393</v>
      </c>
      <c r="E185" s="3" t="s">
        <v>19</v>
      </c>
      <c r="F185" s="134" t="str">
        <f t="shared" si="11"/>
        <v>GLAMRR Q</v>
      </c>
      <c r="G185" s="2">
        <v>4</v>
      </c>
      <c r="H185" s="2"/>
      <c r="I185" s="147">
        <f t="shared" si="13"/>
        <v>4</v>
      </c>
      <c r="J185" s="4" t="s">
        <v>72</v>
      </c>
      <c r="K185" s="5">
        <v>46452</v>
      </c>
      <c r="L185" s="123">
        <f t="shared" ca="1" si="15"/>
        <v>46106</v>
      </c>
      <c r="M185" s="145">
        <v>36</v>
      </c>
      <c r="N185" s="150">
        <f t="shared" ca="1" si="14"/>
        <v>11.533333333333333</v>
      </c>
      <c r="O185" s="151">
        <f t="shared" ca="1" si="12"/>
        <v>0.32037037037037036</v>
      </c>
      <c r="P185" s="8"/>
      <c r="Q185" s="129"/>
      <c r="R185" s="144" t="s">
        <v>670</v>
      </c>
    </row>
    <row r="186" spans="1:18" ht="24.95" customHeight="1">
      <c r="A186" s="8" t="s">
        <v>78</v>
      </c>
      <c r="B186" s="8" t="s">
        <v>85</v>
      </c>
      <c r="C186" s="8" t="s">
        <v>73</v>
      </c>
      <c r="D186" s="7">
        <v>8809526841393</v>
      </c>
      <c r="E186" s="3" t="s">
        <v>19</v>
      </c>
      <c r="F186" s="134" t="str">
        <f t="shared" si="11"/>
        <v>GLAMRR Q</v>
      </c>
      <c r="G186" s="2">
        <v>9</v>
      </c>
      <c r="H186" s="2"/>
      <c r="I186" s="147">
        <f t="shared" si="13"/>
        <v>9</v>
      </c>
      <c r="J186" s="4" t="s">
        <v>72</v>
      </c>
      <c r="K186" s="5">
        <v>46472</v>
      </c>
      <c r="L186" s="123">
        <f t="shared" ca="1" si="15"/>
        <v>46106</v>
      </c>
      <c r="M186" s="145">
        <v>36</v>
      </c>
      <c r="N186" s="150">
        <f t="shared" ca="1" si="14"/>
        <v>12.2</v>
      </c>
      <c r="O186" s="151">
        <f t="shared" ca="1" si="12"/>
        <v>0.33888888888888885</v>
      </c>
      <c r="P186" s="8"/>
      <c r="Q186" s="129"/>
      <c r="R186" s="144" t="s">
        <v>670</v>
      </c>
    </row>
    <row r="187" spans="1:18" ht="24.95" customHeight="1">
      <c r="A187" s="8" t="s">
        <v>78</v>
      </c>
      <c r="B187" s="8" t="s">
        <v>85</v>
      </c>
      <c r="C187" s="8" t="s">
        <v>73</v>
      </c>
      <c r="D187" s="7">
        <v>8809526841409</v>
      </c>
      <c r="E187" s="3" t="s">
        <v>20</v>
      </c>
      <c r="F187" s="134" t="str">
        <f t="shared" si="11"/>
        <v>GLAMRR Q</v>
      </c>
      <c r="G187" s="2">
        <v>2</v>
      </c>
      <c r="H187" s="2"/>
      <c r="I187" s="147">
        <f t="shared" si="13"/>
        <v>2</v>
      </c>
      <c r="J187" s="4" t="s">
        <v>72</v>
      </c>
      <c r="K187" s="5">
        <v>46355</v>
      </c>
      <c r="L187" s="123">
        <f t="shared" ca="1" si="15"/>
        <v>46106</v>
      </c>
      <c r="M187" s="145">
        <v>36</v>
      </c>
      <c r="N187" s="150">
        <f t="shared" ca="1" si="14"/>
        <v>8.3000000000000007</v>
      </c>
      <c r="O187" s="151">
        <f t="shared" ca="1" si="12"/>
        <v>0.23055555555555557</v>
      </c>
      <c r="P187" s="8"/>
      <c r="Q187" s="129"/>
      <c r="R187" s="144" t="s">
        <v>670</v>
      </c>
    </row>
    <row r="188" spans="1:18" ht="24.95" customHeight="1">
      <c r="A188" s="8" t="s">
        <v>78</v>
      </c>
      <c r="B188" s="8" t="s">
        <v>85</v>
      </c>
      <c r="C188" s="8" t="s">
        <v>73</v>
      </c>
      <c r="D188" s="7">
        <v>8809526841409</v>
      </c>
      <c r="E188" s="3" t="s">
        <v>20</v>
      </c>
      <c r="F188" s="134" t="str">
        <f t="shared" si="11"/>
        <v>GLAMRR Q</v>
      </c>
      <c r="G188" s="2">
        <v>3</v>
      </c>
      <c r="H188" s="2"/>
      <c r="I188" s="147">
        <f t="shared" si="13"/>
        <v>3</v>
      </c>
      <c r="J188" s="4" t="s">
        <v>72</v>
      </c>
      <c r="K188" s="5">
        <v>46370</v>
      </c>
      <c r="L188" s="123">
        <f t="shared" ca="1" si="15"/>
        <v>46106</v>
      </c>
      <c r="M188" s="145">
        <v>36</v>
      </c>
      <c r="N188" s="150">
        <f t="shared" ca="1" si="14"/>
        <v>8.8000000000000007</v>
      </c>
      <c r="O188" s="151">
        <f t="shared" ca="1" si="12"/>
        <v>0.24444444444444446</v>
      </c>
      <c r="P188" s="8"/>
      <c r="Q188" s="129"/>
      <c r="R188" s="144" t="s">
        <v>670</v>
      </c>
    </row>
    <row r="189" spans="1:18" ht="24.95" customHeight="1">
      <c r="A189" s="8" t="s">
        <v>78</v>
      </c>
      <c r="B189" s="8" t="s">
        <v>85</v>
      </c>
      <c r="C189" s="8" t="s">
        <v>73</v>
      </c>
      <c r="D189" s="7">
        <v>8809526841409</v>
      </c>
      <c r="E189" s="3" t="s">
        <v>20</v>
      </c>
      <c r="F189" s="134" t="str">
        <f t="shared" si="11"/>
        <v>GLAMRR Q</v>
      </c>
      <c r="G189" s="2">
        <v>9</v>
      </c>
      <c r="H189" s="2"/>
      <c r="I189" s="147">
        <f t="shared" si="13"/>
        <v>9</v>
      </c>
      <c r="J189" s="4" t="s">
        <v>72</v>
      </c>
      <c r="K189" s="5">
        <v>46451</v>
      </c>
      <c r="L189" s="123">
        <f t="shared" ca="1" si="15"/>
        <v>46106</v>
      </c>
      <c r="M189" s="145">
        <v>36</v>
      </c>
      <c r="N189" s="150">
        <f t="shared" ca="1" si="14"/>
        <v>11.5</v>
      </c>
      <c r="O189" s="151">
        <f t="shared" ca="1" si="12"/>
        <v>0.31944444444444442</v>
      </c>
      <c r="P189" s="8"/>
      <c r="Q189" s="129"/>
      <c r="R189" s="144" t="s">
        <v>670</v>
      </c>
    </row>
    <row r="190" spans="1:18" ht="24.95" customHeight="1">
      <c r="A190" s="8" t="s">
        <v>78</v>
      </c>
      <c r="B190" s="8" t="s">
        <v>85</v>
      </c>
      <c r="C190" s="8" t="s">
        <v>73</v>
      </c>
      <c r="D190" s="7">
        <v>8809563069910</v>
      </c>
      <c r="E190" s="3" t="s">
        <v>21</v>
      </c>
      <c r="F190" s="134" t="str">
        <f t="shared" si="11"/>
        <v>GLAMRR Q</v>
      </c>
      <c r="G190" s="2">
        <v>2</v>
      </c>
      <c r="H190" s="2"/>
      <c r="I190" s="147">
        <f t="shared" si="13"/>
        <v>2</v>
      </c>
      <c r="J190" s="4" t="s">
        <v>72</v>
      </c>
      <c r="K190" s="5">
        <v>46481</v>
      </c>
      <c r="L190" s="123">
        <f t="shared" ca="1" si="15"/>
        <v>46106</v>
      </c>
      <c r="M190" s="145">
        <v>36</v>
      </c>
      <c r="N190" s="150">
        <f t="shared" ca="1" si="14"/>
        <v>12.5</v>
      </c>
      <c r="O190" s="151">
        <f t="shared" ca="1" si="12"/>
        <v>0.34722222222222221</v>
      </c>
      <c r="P190" s="8"/>
      <c r="Q190" s="129"/>
      <c r="R190" s="144" t="s">
        <v>670</v>
      </c>
    </row>
    <row r="191" spans="1:18" ht="24.95" customHeight="1">
      <c r="A191" s="8" t="s">
        <v>78</v>
      </c>
      <c r="B191" s="8" t="s">
        <v>85</v>
      </c>
      <c r="C191" s="8" t="s">
        <v>73</v>
      </c>
      <c r="D191" s="7">
        <v>8809783326787</v>
      </c>
      <c r="E191" s="3" t="s">
        <v>60</v>
      </c>
      <c r="F191" s="134" t="str">
        <f t="shared" si="11"/>
        <v>GLAMRR Q</v>
      </c>
      <c r="G191" s="2">
        <v>1</v>
      </c>
      <c r="H191" s="2"/>
      <c r="I191" s="147">
        <f t="shared" si="13"/>
        <v>1</v>
      </c>
      <c r="J191" s="4" t="s">
        <v>72</v>
      </c>
      <c r="K191" s="5">
        <v>46352</v>
      </c>
      <c r="L191" s="123">
        <f t="shared" ca="1" si="15"/>
        <v>46106</v>
      </c>
      <c r="M191" s="145">
        <v>36</v>
      </c>
      <c r="N191" s="150">
        <f t="shared" ca="1" si="14"/>
        <v>8.1999999999999993</v>
      </c>
      <c r="O191" s="151">
        <f t="shared" ca="1" si="12"/>
        <v>0.22777777777777775</v>
      </c>
      <c r="P191" s="8"/>
      <c r="Q191" s="129"/>
      <c r="R191" s="144" t="s">
        <v>670</v>
      </c>
    </row>
    <row r="192" spans="1:18" ht="24.95" customHeight="1">
      <c r="A192" s="8" t="s">
        <v>78</v>
      </c>
      <c r="B192" s="8" t="s">
        <v>85</v>
      </c>
      <c r="C192" s="8" t="s">
        <v>73</v>
      </c>
      <c r="D192" s="7">
        <v>8809783326794</v>
      </c>
      <c r="E192" s="3" t="s">
        <v>62</v>
      </c>
      <c r="F192" s="134" t="str">
        <f t="shared" si="11"/>
        <v>GLAMRR Q</v>
      </c>
      <c r="G192" s="2">
        <v>2</v>
      </c>
      <c r="H192" s="2"/>
      <c r="I192" s="147">
        <f t="shared" si="13"/>
        <v>2</v>
      </c>
      <c r="J192" s="4" t="s">
        <v>72</v>
      </c>
      <c r="K192" s="5">
        <v>46306</v>
      </c>
      <c r="L192" s="123">
        <f t="shared" ca="1" si="15"/>
        <v>46106</v>
      </c>
      <c r="M192" s="145">
        <v>36</v>
      </c>
      <c r="N192" s="150">
        <f t="shared" ca="1" si="14"/>
        <v>6.666666666666667</v>
      </c>
      <c r="O192" s="151">
        <f t="shared" ca="1" si="12"/>
        <v>0.1851851851851852</v>
      </c>
      <c r="P192" s="8"/>
      <c r="Q192" s="129"/>
      <c r="R192" s="144" t="s">
        <v>670</v>
      </c>
    </row>
    <row r="193" spans="1:18" ht="24.95" customHeight="1">
      <c r="A193" s="8" t="s">
        <v>78</v>
      </c>
      <c r="B193" s="8" t="s">
        <v>85</v>
      </c>
      <c r="C193" s="8" t="s">
        <v>73</v>
      </c>
      <c r="D193" s="7">
        <v>8809875904879</v>
      </c>
      <c r="E193" s="3" t="s">
        <v>26</v>
      </c>
      <c r="F193" s="134" t="str">
        <f t="shared" ref="F193:F256" si="16">IF(ISNUMBER(SEARCH("gilaa",E193)),"GILAA",
IF(ISNUMBER(SEARCH("GLAMRR Q",E193)),"GLAMRR Q",
IF(ISNUMBER(SEARCH("BAD PEACH",E193)),"BAD PEACH",
IF(ISNUMBER(SEARCH("VEGICK",E193)),"VEGICK",
IF(ISNUMBER(SEARCH("DE MEMORIA",E193)),"DE MEMORIA",
IF(ISNUMBER(SEARCH("MUDE",E193)),"MUDE",
IF(ISNUMBER(SEARCH("daoida",E193)),"DAOIDA",IF(ISNUMBER(SEARCH("MEDIFORCELL",E193)),"MEDIFORCELL",IF(ISNUMBER(SEARCH("PLU",E193)),"PLU","")))))))))</f>
        <v>GLAMRR Q</v>
      </c>
      <c r="G193" s="2">
        <v>1</v>
      </c>
      <c r="H193" s="2"/>
      <c r="I193" s="147">
        <f t="shared" si="13"/>
        <v>1</v>
      </c>
      <c r="J193" s="4" t="s">
        <v>72</v>
      </c>
      <c r="K193" s="5">
        <v>46452</v>
      </c>
      <c r="L193" s="123">
        <f t="shared" ca="1" si="15"/>
        <v>46106</v>
      </c>
      <c r="M193" s="145">
        <v>36</v>
      </c>
      <c r="N193" s="150">
        <f t="shared" ca="1" si="14"/>
        <v>11.533333333333333</v>
      </c>
      <c r="O193" s="151">
        <f t="shared" ca="1" si="12"/>
        <v>0.32037037037037036</v>
      </c>
      <c r="P193" s="8"/>
      <c r="Q193" s="129"/>
      <c r="R193" s="144" t="s">
        <v>670</v>
      </c>
    </row>
    <row r="194" spans="1:18" ht="24.95" customHeight="1">
      <c r="A194" s="8" t="s">
        <v>78</v>
      </c>
      <c r="B194" s="8" t="s">
        <v>85</v>
      </c>
      <c r="C194" s="8" t="s">
        <v>76</v>
      </c>
      <c r="D194" s="7">
        <v>8809203078210</v>
      </c>
      <c r="E194" s="3" t="s">
        <v>37</v>
      </c>
      <c r="F194" s="134" t="str">
        <f t="shared" si="16"/>
        <v>GILAA</v>
      </c>
      <c r="G194" s="2">
        <v>61</v>
      </c>
      <c r="H194" s="2">
        <v>61</v>
      </c>
      <c r="I194" s="147">
        <f t="shared" si="13"/>
        <v>0</v>
      </c>
      <c r="J194" s="4" t="s">
        <v>72</v>
      </c>
      <c r="K194" s="5">
        <v>46268</v>
      </c>
      <c r="L194" s="123">
        <f t="shared" ca="1" si="15"/>
        <v>46106</v>
      </c>
      <c r="M194" s="145">
        <v>36</v>
      </c>
      <c r="N194" s="150">
        <f t="shared" ca="1" si="14"/>
        <v>5.4</v>
      </c>
      <c r="O194" s="151">
        <f t="shared" ref="O194:O257" ca="1" si="17">N194/M194</f>
        <v>0.15000000000000002</v>
      </c>
      <c r="P194" s="8"/>
      <c r="Q194" s="129" t="s">
        <v>656</v>
      </c>
      <c r="R194" s="144" t="s">
        <v>670</v>
      </c>
    </row>
    <row r="195" spans="1:18" ht="24.95" customHeight="1">
      <c r="A195" s="8" t="s">
        <v>78</v>
      </c>
      <c r="B195" s="8" t="s">
        <v>85</v>
      </c>
      <c r="C195" s="8" t="s">
        <v>76</v>
      </c>
      <c r="D195" s="7">
        <v>8809203078210</v>
      </c>
      <c r="E195" s="3" t="s">
        <v>37</v>
      </c>
      <c r="F195" s="134" t="str">
        <f t="shared" si="16"/>
        <v>GILAA</v>
      </c>
      <c r="G195" s="2">
        <v>18</v>
      </c>
      <c r="H195" s="2">
        <v>18</v>
      </c>
      <c r="I195" s="147">
        <f t="shared" ref="I195:I258" si="18">G195-H195</f>
        <v>0</v>
      </c>
      <c r="J195" s="4" t="s">
        <v>72</v>
      </c>
      <c r="K195" s="5">
        <v>46344</v>
      </c>
      <c r="L195" s="123">
        <f t="shared" ca="1" si="15"/>
        <v>46106</v>
      </c>
      <c r="M195" s="145">
        <v>36</v>
      </c>
      <c r="N195" s="150">
        <f t="shared" ref="N195:N258" ca="1" si="19">(K195-L195)/30</f>
        <v>7.9333333333333336</v>
      </c>
      <c r="O195" s="151">
        <f t="shared" ca="1" si="17"/>
        <v>0.22037037037037038</v>
      </c>
      <c r="P195" s="8"/>
      <c r="Q195" s="129" t="s">
        <v>656</v>
      </c>
      <c r="R195" s="144" t="s">
        <v>670</v>
      </c>
    </row>
    <row r="196" spans="1:18" ht="24.95" customHeight="1">
      <c r="A196" s="8" t="s">
        <v>78</v>
      </c>
      <c r="B196" s="8" t="s">
        <v>85</v>
      </c>
      <c r="C196" s="8" t="s">
        <v>76</v>
      </c>
      <c r="D196" s="7">
        <v>8809491946154</v>
      </c>
      <c r="E196" s="3" t="s">
        <v>6</v>
      </c>
      <c r="F196" s="134" t="str">
        <f t="shared" si="16"/>
        <v>GLAMRR Q</v>
      </c>
      <c r="G196" s="2">
        <v>3</v>
      </c>
      <c r="H196" s="2"/>
      <c r="I196" s="147">
        <f t="shared" si="18"/>
        <v>3</v>
      </c>
      <c r="J196" s="4" t="s">
        <v>72</v>
      </c>
      <c r="K196" s="5">
        <v>46349</v>
      </c>
      <c r="L196" s="123">
        <f t="shared" ca="1" si="15"/>
        <v>46106</v>
      </c>
      <c r="M196" s="145">
        <v>36</v>
      </c>
      <c r="N196" s="150">
        <f t="shared" ca="1" si="19"/>
        <v>8.1</v>
      </c>
      <c r="O196" s="151">
        <f t="shared" ca="1" si="17"/>
        <v>0.22499999999999998</v>
      </c>
      <c r="P196" s="8"/>
      <c r="Q196" s="129"/>
      <c r="R196" s="144" t="s">
        <v>670</v>
      </c>
    </row>
    <row r="197" spans="1:18" ht="24.95" customHeight="1">
      <c r="A197" s="8" t="s">
        <v>78</v>
      </c>
      <c r="B197" s="8" t="s">
        <v>85</v>
      </c>
      <c r="C197" s="8" t="s">
        <v>76</v>
      </c>
      <c r="D197" s="7">
        <v>8809491946154</v>
      </c>
      <c r="E197" s="3" t="s">
        <v>6</v>
      </c>
      <c r="F197" s="134" t="str">
        <f t="shared" si="16"/>
        <v>GLAMRR Q</v>
      </c>
      <c r="G197" s="2">
        <v>1</v>
      </c>
      <c r="H197" s="2"/>
      <c r="I197" s="147">
        <f t="shared" si="18"/>
        <v>1</v>
      </c>
      <c r="J197" s="4" t="s">
        <v>72</v>
      </c>
      <c r="K197" s="5">
        <v>46640</v>
      </c>
      <c r="L197" s="123">
        <f t="shared" ca="1" si="15"/>
        <v>46106</v>
      </c>
      <c r="M197" s="145">
        <v>36</v>
      </c>
      <c r="N197" s="150">
        <f t="shared" ca="1" si="19"/>
        <v>17.8</v>
      </c>
      <c r="O197" s="151">
        <f t="shared" ca="1" si="17"/>
        <v>0.49444444444444446</v>
      </c>
      <c r="P197" s="8"/>
      <c r="Q197" s="129"/>
      <c r="R197" s="144" t="s">
        <v>670</v>
      </c>
    </row>
    <row r="198" spans="1:18" ht="24.95" customHeight="1">
      <c r="A198" s="8" t="s">
        <v>78</v>
      </c>
      <c r="B198" s="8" t="s">
        <v>85</v>
      </c>
      <c r="C198" s="8" t="s">
        <v>76</v>
      </c>
      <c r="D198" s="7">
        <v>8809491946185</v>
      </c>
      <c r="E198" s="3" t="s">
        <v>9</v>
      </c>
      <c r="F198" s="134" t="str">
        <f t="shared" si="16"/>
        <v>GLAMRR Q</v>
      </c>
      <c r="G198" s="2">
        <v>2</v>
      </c>
      <c r="H198" s="2"/>
      <c r="I198" s="147">
        <f t="shared" si="18"/>
        <v>2</v>
      </c>
      <c r="J198" s="4" t="s">
        <v>72</v>
      </c>
      <c r="K198" s="5">
        <v>46349</v>
      </c>
      <c r="L198" s="123">
        <f t="shared" ca="1" si="15"/>
        <v>46106</v>
      </c>
      <c r="M198" s="145">
        <v>36</v>
      </c>
      <c r="N198" s="150">
        <f t="shared" ca="1" si="19"/>
        <v>8.1</v>
      </c>
      <c r="O198" s="151">
        <f t="shared" ca="1" si="17"/>
        <v>0.22499999999999998</v>
      </c>
      <c r="P198" s="8"/>
      <c r="Q198" s="129"/>
      <c r="R198" s="144" t="s">
        <v>670</v>
      </c>
    </row>
    <row r="199" spans="1:18" ht="24.95" customHeight="1">
      <c r="A199" s="8" t="s">
        <v>78</v>
      </c>
      <c r="B199" s="8" t="s">
        <v>85</v>
      </c>
      <c r="C199" s="8" t="s">
        <v>76</v>
      </c>
      <c r="D199" s="7">
        <v>8809491946192</v>
      </c>
      <c r="E199" s="3" t="s">
        <v>10</v>
      </c>
      <c r="F199" s="134" t="str">
        <f t="shared" si="16"/>
        <v>GLAMRR Q</v>
      </c>
      <c r="G199" s="2">
        <v>3</v>
      </c>
      <c r="H199" s="2"/>
      <c r="I199" s="147">
        <f t="shared" si="18"/>
        <v>3</v>
      </c>
      <c r="J199" s="4" t="s">
        <v>72</v>
      </c>
      <c r="K199" s="5">
        <v>46472</v>
      </c>
      <c r="L199" s="123">
        <f t="shared" ca="1" si="15"/>
        <v>46106</v>
      </c>
      <c r="M199" s="145">
        <v>36</v>
      </c>
      <c r="N199" s="150">
        <f t="shared" ca="1" si="19"/>
        <v>12.2</v>
      </c>
      <c r="O199" s="151">
        <f t="shared" ca="1" si="17"/>
        <v>0.33888888888888885</v>
      </c>
      <c r="P199" s="8"/>
      <c r="Q199" s="129"/>
      <c r="R199" s="144" t="s">
        <v>670</v>
      </c>
    </row>
    <row r="200" spans="1:18" ht="24.95" customHeight="1">
      <c r="A200" s="8" t="s">
        <v>78</v>
      </c>
      <c r="B200" s="8" t="s">
        <v>85</v>
      </c>
      <c r="C200" s="8" t="s">
        <v>76</v>
      </c>
      <c r="D200" s="7">
        <v>8809491946192</v>
      </c>
      <c r="E200" s="3" t="s">
        <v>10</v>
      </c>
      <c r="F200" s="134" t="str">
        <f t="shared" si="16"/>
        <v>GLAMRR Q</v>
      </c>
      <c r="G200" s="2">
        <v>3</v>
      </c>
      <c r="H200" s="2"/>
      <c r="I200" s="147">
        <f t="shared" si="18"/>
        <v>3</v>
      </c>
      <c r="J200" s="4" t="s">
        <v>72</v>
      </c>
      <c r="K200" s="5">
        <v>46313</v>
      </c>
      <c r="L200" s="123">
        <f t="shared" ca="1" si="15"/>
        <v>46106</v>
      </c>
      <c r="M200" s="145">
        <v>36</v>
      </c>
      <c r="N200" s="150">
        <f t="shared" ca="1" si="19"/>
        <v>6.9</v>
      </c>
      <c r="O200" s="151">
        <f t="shared" ca="1" si="17"/>
        <v>0.19166666666666668</v>
      </c>
      <c r="P200" s="8"/>
      <c r="Q200" s="129"/>
      <c r="R200" s="144" t="s">
        <v>670</v>
      </c>
    </row>
    <row r="201" spans="1:18" ht="24.95" customHeight="1">
      <c r="A201" s="8" t="s">
        <v>78</v>
      </c>
      <c r="B201" s="8" t="s">
        <v>85</v>
      </c>
      <c r="C201" s="8" t="s">
        <v>76</v>
      </c>
      <c r="D201" s="7">
        <v>8809491946208</v>
      </c>
      <c r="E201" s="3" t="s">
        <v>11</v>
      </c>
      <c r="F201" s="134" t="str">
        <f t="shared" si="16"/>
        <v>GLAMRR Q</v>
      </c>
      <c r="G201" s="2">
        <v>2</v>
      </c>
      <c r="H201" s="2"/>
      <c r="I201" s="147">
        <f t="shared" si="18"/>
        <v>2</v>
      </c>
      <c r="J201" s="4" t="s">
        <v>72</v>
      </c>
      <c r="K201" s="5">
        <v>46349</v>
      </c>
      <c r="L201" s="123">
        <f t="shared" ca="1" si="15"/>
        <v>46106</v>
      </c>
      <c r="M201" s="145">
        <v>36</v>
      </c>
      <c r="N201" s="150">
        <f t="shared" ca="1" si="19"/>
        <v>8.1</v>
      </c>
      <c r="O201" s="151">
        <f t="shared" ca="1" si="17"/>
        <v>0.22499999999999998</v>
      </c>
      <c r="P201" s="8"/>
      <c r="Q201" s="129"/>
      <c r="R201" s="144" t="s">
        <v>670</v>
      </c>
    </row>
    <row r="202" spans="1:18" ht="24.95" customHeight="1">
      <c r="A202" s="8" t="s">
        <v>78</v>
      </c>
      <c r="B202" s="8" t="s">
        <v>85</v>
      </c>
      <c r="C202" s="8" t="s">
        <v>76</v>
      </c>
      <c r="D202" s="7">
        <v>8809491946222</v>
      </c>
      <c r="E202" s="3" t="s">
        <v>13</v>
      </c>
      <c r="F202" s="134" t="str">
        <f t="shared" si="16"/>
        <v>GLAMRR Q</v>
      </c>
      <c r="G202" s="8">
        <v>2</v>
      </c>
      <c r="H202" s="8"/>
      <c r="I202" s="147">
        <f t="shared" si="18"/>
        <v>2</v>
      </c>
      <c r="J202" s="4" t="s">
        <v>72</v>
      </c>
      <c r="K202" s="5">
        <v>46472</v>
      </c>
      <c r="L202" s="123">
        <f t="shared" ref="L202:L265" ca="1" si="20">TODAY()</f>
        <v>46106</v>
      </c>
      <c r="M202" s="145">
        <v>36</v>
      </c>
      <c r="N202" s="150">
        <f t="shared" ca="1" si="19"/>
        <v>12.2</v>
      </c>
      <c r="O202" s="151">
        <f t="shared" ca="1" si="17"/>
        <v>0.33888888888888885</v>
      </c>
      <c r="P202" s="8"/>
      <c r="Q202" s="129"/>
      <c r="R202" s="144" t="s">
        <v>670</v>
      </c>
    </row>
    <row r="203" spans="1:18" ht="24.95" customHeight="1">
      <c r="A203" s="8" t="s">
        <v>78</v>
      </c>
      <c r="B203" s="8" t="s">
        <v>85</v>
      </c>
      <c r="C203" s="8" t="s">
        <v>76</v>
      </c>
      <c r="D203" s="7">
        <v>8809491946222</v>
      </c>
      <c r="E203" s="3" t="s">
        <v>13</v>
      </c>
      <c r="F203" s="134" t="str">
        <f t="shared" si="16"/>
        <v>GLAMRR Q</v>
      </c>
      <c r="G203" s="8">
        <v>3</v>
      </c>
      <c r="H203" s="8"/>
      <c r="I203" s="147">
        <f t="shared" si="18"/>
        <v>3</v>
      </c>
      <c r="J203" s="4" t="s">
        <v>72</v>
      </c>
      <c r="K203" s="5">
        <v>46275</v>
      </c>
      <c r="L203" s="123">
        <f t="shared" ca="1" si="20"/>
        <v>46106</v>
      </c>
      <c r="M203" s="145">
        <v>36</v>
      </c>
      <c r="N203" s="150">
        <f t="shared" ca="1" si="19"/>
        <v>5.6333333333333337</v>
      </c>
      <c r="O203" s="151">
        <f t="shared" ca="1" si="17"/>
        <v>0.1564814814814815</v>
      </c>
      <c r="P203" s="8"/>
      <c r="Q203" s="129"/>
      <c r="R203" s="144" t="s">
        <v>670</v>
      </c>
    </row>
    <row r="204" spans="1:18" ht="24.95" customHeight="1">
      <c r="A204" s="8" t="s">
        <v>78</v>
      </c>
      <c r="B204" s="8" t="s">
        <v>85</v>
      </c>
      <c r="C204" s="8" t="s">
        <v>76</v>
      </c>
      <c r="D204" s="7">
        <v>8809491946239</v>
      </c>
      <c r="E204" s="3" t="s">
        <v>14</v>
      </c>
      <c r="F204" s="134" t="str">
        <f t="shared" si="16"/>
        <v>GLAMRR Q</v>
      </c>
      <c r="G204" s="8">
        <v>3</v>
      </c>
      <c r="H204" s="8"/>
      <c r="I204" s="147">
        <f t="shared" si="18"/>
        <v>3</v>
      </c>
      <c r="J204" s="4" t="s">
        <v>72</v>
      </c>
      <c r="K204" s="5">
        <v>46472</v>
      </c>
      <c r="L204" s="123">
        <f t="shared" ca="1" si="20"/>
        <v>46106</v>
      </c>
      <c r="M204" s="145">
        <v>36</v>
      </c>
      <c r="N204" s="150">
        <f t="shared" ca="1" si="19"/>
        <v>12.2</v>
      </c>
      <c r="O204" s="151">
        <f t="shared" ca="1" si="17"/>
        <v>0.33888888888888885</v>
      </c>
      <c r="P204" s="8"/>
      <c r="Q204" s="129"/>
      <c r="R204" s="144" t="s">
        <v>670</v>
      </c>
    </row>
    <row r="205" spans="1:18" ht="24.95" customHeight="1">
      <c r="A205" s="8" t="s">
        <v>78</v>
      </c>
      <c r="B205" s="8" t="s">
        <v>85</v>
      </c>
      <c r="C205" s="8" t="s">
        <v>76</v>
      </c>
      <c r="D205" s="7">
        <v>8809491946253</v>
      </c>
      <c r="E205" s="3" t="s">
        <v>16</v>
      </c>
      <c r="F205" s="134" t="str">
        <f t="shared" si="16"/>
        <v>GLAMRR Q</v>
      </c>
      <c r="G205" s="2">
        <v>3</v>
      </c>
      <c r="H205" s="2"/>
      <c r="I205" s="147">
        <f t="shared" si="18"/>
        <v>3</v>
      </c>
      <c r="J205" s="4" t="s">
        <v>72</v>
      </c>
      <c r="K205" s="5">
        <v>46352</v>
      </c>
      <c r="L205" s="123">
        <f t="shared" ca="1" si="20"/>
        <v>46106</v>
      </c>
      <c r="M205" s="145">
        <v>36</v>
      </c>
      <c r="N205" s="150">
        <f t="shared" ca="1" si="19"/>
        <v>8.1999999999999993</v>
      </c>
      <c r="O205" s="151">
        <f t="shared" ca="1" si="17"/>
        <v>0.22777777777777775</v>
      </c>
      <c r="P205" s="8"/>
      <c r="Q205" s="129"/>
      <c r="R205" s="144" t="s">
        <v>670</v>
      </c>
    </row>
    <row r="206" spans="1:18" ht="24.95" customHeight="1">
      <c r="A206" s="8" t="s">
        <v>78</v>
      </c>
      <c r="B206" s="8" t="s">
        <v>85</v>
      </c>
      <c r="C206" s="8" t="s">
        <v>76</v>
      </c>
      <c r="D206" s="7">
        <v>8809526841393</v>
      </c>
      <c r="E206" s="3" t="s">
        <v>19</v>
      </c>
      <c r="F206" s="134" t="str">
        <f t="shared" si="16"/>
        <v>GLAMRR Q</v>
      </c>
      <c r="G206" s="2">
        <v>2</v>
      </c>
      <c r="H206" s="2"/>
      <c r="I206" s="147">
        <f t="shared" si="18"/>
        <v>2</v>
      </c>
      <c r="J206" s="4" t="s">
        <v>72</v>
      </c>
      <c r="K206" s="5">
        <v>46325</v>
      </c>
      <c r="L206" s="123">
        <f t="shared" ca="1" si="20"/>
        <v>46106</v>
      </c>
      <c r="M206" s="145">
        <v>36</v>
      </c>
      <c r="N206" s="150">
        <f t="shared" ca="1" si="19"/>
        <v>7.3</v>
      </c>
      <c r="O206" s="151">
        <f t="shared" ca="1" si="17"/>
        <v>0.20277777777777778</v>
      </c>
      <c r="P206" s="8"/>
      <c r="Q206" s="129"/>
      <c r="R206" s="144" t="s">
        <v>670</v>
      </c>
    </row>
    <row r="207" spans="1:18" ht="24.95" customHeight="1">
      <c r="A207" s="8" t="s">
        <v>78</v>
      </c>
      <c r="B207" s="8" t="s">
        <v>85</v>
      </c>
      <c r="C207" s="8" t="s">
        <v>76</v>
      </c>
      <c r="D207" s="7">
        <v>8809526841393</v>
      </c>
      <c r="E207" s="3" t="s">
        <v>19</v>
      </c>
      <c r="F207" s="134" t="str">
        <f t="shared" si="16"/>
        <v>GLAMRR Q</v>
      </c>
      <c r="G207" s="2">
        <v>4</v>
      </c>
      <c r="H207" s="2"/>
      <c r="I207" s="147">
        <f t="shared" si="18"/>
        <v>4</v>
      </c>
      <c r="J207" s="4" t="s">
        <v>72</v>
      </c>
      <c r="K207" s="5">
        <v>46452</v>
      </c>
      <c r="L207" s="123">
        <f t="shared" ca="1" si="20"/>
        <v>46106</v>
      </c>
      <c r="M207" s="145">
        <v>36</v>
      </c>
      <c r="N207" s="150">
        <f t="shared" ca="1" si="19"/>
        <v>11.533333333333333</v>
      </c>
      <c r="O207" s="151">
        <f t="shared" ca="1" si="17"/>
        <v>0.32037037037037036</v>
      </c>
      <c r="P207" s="8"/>
      <c r="Q207" s="129"/>
      <c r="R207" s="144" t="s">
        <v>670</v>
      </c>
    </row>
    <row r="208" spans="1:18" ht="24.95" customHeight="1">
      <c r="A208" s="8" t="s">
        <v>78</v>
      </c>
      <c r="B208" s="8" t="s">
        <v>85</v>
      </c>
      <c r="C208" s="8" t="s">
        <v>76</v>
      </c>
      <c r="D208" s="7">
        <v>8809526841393</v>
      </c>
      <c r="E208" s="3" t="s">
        <v>19</v>
      </c>
      <c r="F208" s="134" t="str">
        <f t="shared" si="16"/>
        <v>GLAMRR Q</v>
      </c>
      <c r="G208" s="2">
        <v>9</v>
      </c>
      <c r="H208" s="2"/>
      <c r="I208" s="147">
        <f t="shared" si="18"/>
        <v>9</v>
      </c>
      <c r="J208" s="4" t="s">
        <v>72</v>
      </c>
      <c r="K208" s="5">
        <v>46472</v>
      </c>
      <c r="L208" s="123">
        <f t="shared" ca="1" si="20"/>
        <v>46106</v>
      </c>
      <c r="M208" s="145">
        <v>36</v>
      </c>
      <c r="N208" s="150">
        <f t="shared" ca="1" si="19"/>
        <v>12.2</v>
      </c>
      <c r="O208" s="151">
        <f t="shared" ca="1" si="17"/>
        <v>0.33888888888888885</v>
      </c>
      <c r="P208" s="8"/>
      <c r="Q208" s="129"/>
      <c r="R208" s="144" t="s">
        <v>670</v>
      </c>
    </row>
    <row r="209" spans="1:18" ht="24.95" customHeight="1">
      <c r="A209" s="8" t="s">
        <v>78</v>
      </c>
      <c r="B209" s="8" t="s">
        <v>85</v>
      </c>
      <c r="C209" s="8" t="s">
        <v>76</v>
      </c>
      <c r="D209" s="7">
        <v>8809526841409</v>
      </c>
      <c r="E209" s="3" t="s">
        <v>20</v>
      </c>
      <c r="F209" s="134" t="str">
        <f t="shared" si="16"/>
        <v>GLAMRR Q</v>
      </c>
      <c r="G209" s="2">
        <v>2</v>
      </c>
      <c r="H209" s="2"/>
      <c r="I209" s="147">
        <f t="shared" si="18"/>
        <v>2</v>
      </c>
      <c r="J209" s="4" t="s">
        <v>72</v>
      </c>
      <c r="K209" s="5">
        <v>46355</v>
      </c>
      <c r="L209" s="123">
        <f t="shared" ca="1" si="20"/>
        <v>46106</v>
      </c>
      <c r="M209" s="145">
        <v>36</v>
      </c>
      <c r="N209" s="150">
        <f t="shared" ca="1" si="19"/>
        <v>8.3000000000000007</v>
      </c>
      <c r="O209" s="151">
        <f t="shared" ca="1" si="17"/>
        <v>0.23055555555555557</v>
      </c>
      <c r="P209" s="8"/>
      <c r="Q209" s="129"/>
      <c r="R209" s="144" t="s">
        <v>670</v>
      </c>
    </row>
    <row r="210" spans="1:18" ht="24.95" customHeight="1">
      <c r="A210" s="8" t="s">
        <v>78</v>
      </c>
      <c r="B210" s="8" t="s">
        <v>85</v>
      </c>
      <c r="C210" s="8" t="s">
        <v>76</v>
      </c>
      <c r="D210" s="7">
        <v>8809526841409</v>
      </c>
      <c r="E210" s="3" t="s">
        <v>20</v>
      </c>
      <c r="F210" s="134" t="str">
        <f t="shared" si="16"/>
        <v>GLAMRR Q</v>
      </c>
      <c r="G210" s="2">
        <v>3</v>
      </c>
      <c r="H210" s="2"/>
      <c r="I210" s="147">
        <f t="shared" si="18"/>
        <v>3</v>
      </c>
      <c r="J210" s="4" t="s">
        <v>72</v>
      </c>
      <c r="K210" s="5">
        <v>46370</v>
      </c>
      <c r="L210" s="123">
        <f t="shared" ca="1" si="20"/>
        <v>46106</v>
      </c>
      <c r="M210" s="145">
        <v>36</v>
      </c>
      <c r="N210" s="150">
        <f t="shared" ca="1" si="19"/>
        <v>8.8000000000000007</v>
      </c>
      <c r="O210" s="151">
        <f t="shared" ca="1" si="17"/>
        <v>0.24444444444444446</v>
      </c>
      <c r="P210" s="8"/>
      <c r="Q210" s="129"/>
      <c r="R210" s="144" t="s">
        <v>670</v>
      </c>
    </row>
    <row r="211" spans="1:18" ht="24.95" customHeight="1">
      <c r="A211" s="8" t="s">
        <v>78</v>
      </c>
      <c r="B211" s="8" t="s">
        <v>85</v>
      </c>
      <c r="C211" s="8" t="s">
        <v>76</v>
      </c>
      <c r="D211" s="7">
        <v>8809526841409</v>
      </c>
      <c r="E211" s="3" t="s">
        <v>20</v>
      </c>
      <c r="F211" s="134" t="str">
        <f t="shared" si="16"/>
        <v>GLAMRR Q</v>
      </c>
      <c r="G211" s="2">
        <v>9</v>
      </c>
      <c r="H211" s="2"/>
      <c r="I211" s="147">
        <f t="shared" si="18"/>
        <v>9</v>
      </c>
      <c r="J211" s="4" t="s">
        <v>72</v>
      </c>
      <c r="K211" s="5">
        <v>46451</v>
      </c>
      <c r="L211" s="123">
        <f t="shared" ca="1" si="20"/>
        <v>46106</v>
      </c>
      <c r="M211" s="145">
        <v>36</v>
      </c>
      <c r="N211" s="150">
        <f t="shared" ca="1" si="19"/>
        <v>11.5</v>
      </c>
      <c r="O211" s="151">
        <f t="shared" ca="1" si="17"/>
        <v>0.31944444444444442</v>
      </c>
      <c r="P211" s="8"/>
      <c r="Q211" s="129"/>
      <c r="R211" s="144" t="s">
        <v>670</v>
      </c>
    </row>
    <row r="212" spans="1:18" ht="24.95" customHeight="1">
      <c r="A212" s="8" t="s">
        <v>78</v>
      </c>
      <c r="B212" s="8" t="s">
        <v>85</v>
      </c>
      <c r="C212" s="8" t="s">
        <v>76</v>
      </c>
      <c r="D212" s="7">
        <v>8809563069910</v>
      </c>
      <c r="E212" s="3" t="s">
        <v>21</v>
      </c>
      <c r="F212" s="134" t="str">
        <f t="shared" si="16"/>
        <v>GLAMRR Q</v>
      </c>
      <c r="G212" s="2">
        <v>2</v>
      </c>
      <c r="H212" s="2"/>
      <c r="I212" s="147">
        <f t="shared" si="18"/>
        <v>2</v>
      </c>
      <c r="J212" s="4" t="s">
        <v>72</v>
      </c>
      <c r="K212" s="5">
        <v>46481</v>
      </c>
      <c r="L212" s="123">
        <f t="shared" ca="1" si="20"/>
        <v>46106</v>
      </c>
      <c r="M212" s="145">
        <v>36</v>
      </c>
      <c r="N212" s="150">
        <f t="shared" ca="1" si="19"/>
        <v>12.5</v>
      </c>
      <c r="O212" s="151">
        <f t="shared" ca="1" si="17"/>
        <v>0.34722222222222221</v>
      </c>
      <c r="P212" s="8"/>
      <c r="Q212" s="129"/>
      <c r="R212" s="144" t="s">
        <v>670</v>
      </c>
    </row>
    <row r="213" spans="1:18" ht="24.95" customHeight="1">
      <c r="A213" s="8" t="s">
        <v>78</v>
      </c>
      <c r="B213" s="8" t="s">
        <v>85</v>
      </c>
      <c r="C213" s="8" t="s">
        <v>76</v>
      </c>
      <c r="D213" s="7">
        <v>8809783326787</v>
      </c>
      <c r="E213" s="3" t="s">
        <v>60</v>
      </c>
      <c r="F213" s="134" t="str">
        <f t="shared" si="16"/>
        <v>GLAMRR Q</v>
      </c>
      <c r="G213" s="2">
        <v>1</v>
      </c>
      <c r="H213" s="2"/>
      <c r="I213" s="147">
        <f t="shared" si="18"/>
        <v>1</v>
      </c>
      <c r="J213" s="4" t="s">
        <v>72</v>
      </c>
      <c r="K213" s="5">
        <v>46352</v>
      </c>
      <c r="L213" s="123">
        <f t="shared" ca="1" si="20"/>
        <v>46106</v>
      </c>
      <c r="M213" s="145">
        <v>36</v>
      </c>
      <c r="N213" s="150">
        <f t="shared" ca="1" si="19"/>
        <v>8.1999999999999993</v>
      </c>
      <c r="O213" s="151">
        <f t="shared" ca="1" si="17"/>
        <v>0.22777777777777775</v>
      </c>
      <c r="P213" s="8"/>
      <c r="Q213" s="129"/>
      <c r="R213" s="144" t="s">
        <v>670</v>
      </c>
    </row>
    <row r="214" spans="1:18" ht="24.95" customHeight="1">
      <c r="A214" s="8" t="s">
        <v>78</v>
      </c>
      <c r="B214" s="8" t="s">
        <v>85</v>
      </c>
      <c r="C214" s="8" t="s">
        <v>76</v>
      </c>
      <c r="D214" s="7">
        <v>8809783326794</v>
      </c>
      <c r="E214" s="3" t="s">
        <v>62</v>
      </c>
      <c r="F214" s="134" t="str">
        <f t="shared" si="16"/>
        <v>GLAMRR Q</v>
      </c>
      <c r="G214" s="2">
        <v>2</v>
      </c>
      <c r="H214" s="2"/>
      <c r="I214" s="147">
        <f t="shared" si="18"/>
        <v>2</v>
      </c>
      <c r="J214" s="4" t="s">
        <v>72</v>
      </c>
      <c r="K214" s="5">
        <v>46306</v>
      </c>
      <c r="L214" s="123">
        <f t="shared" ca="1" si="20"/>
        <v>46106</v>
      </c>
      <c r="M214" s="145">
        <v>36</v>
      </c>
      <c r="N214" s="150">
        <f t="shared" ca="1" si="19"/>
        <v>6.666666666666667</v>
      </c>
      <c r="O214" s="151">
        <f t="shared" ca="1" si="17"/>
        <v>0.1851851851851852</v>
      </c>
      <c r="P214" s="8"/>
      <c r="Q214" s="129"/>
      <c r="R214" s="144" t="s">
        <v>670</v>
      </c>
    </row>
    <row r="215" spans="1:18" ht="24.95" customHeight="1">
      <c r="A215" s="8" t="s">
        <v>78</v>
      </c>
      <c r="B215" s="8" t="s">
        <v>85</v>
      </c>
      <c r="C215" s="8" t="s">
        <v>76</v>
      </c>
      <c r="D215" s="7">
        <v>8809875904879</v>
      </c>
      <c r="E215" s="3" t="s">
        <v>26</v>
      </c>
      <c r="F215" s="134" t="str">
        <f t="shared" si="16"/>
        <v>GLAMRR Q</v>
      </c>
      <c r="G215" s="2">
        <v>1</v>
      </c>
      <c r="H215" s="2"/>
      <c r="I215" s="147">
        <f t="shared" si="18"/>
        <v>1</v>
      </c>
      <c r="J215" s="4" t="s">
        <v>72</v>
      </c>
      <c r="K215" s="5">
        <v>46452</v>
      </c>
      <c r="L215" s="123">
        <f t="shared" ca="1" si="20"/>
        <v>46106</v>
      </c>
      <c r="M215" s="145">
        <v>36</v>
      </c>
      <c r="N215" s="150">
        <f t="shared" ca="1" si="19"/>
        <v>11.533333333333333</v>
      </c>
      <c r="O215" s="151">
        <f t="shared" ca="1" si="17"/>
        <v>0.32037037037037036</v>
      </c>
      <c r="P215" s="8"/>
      <c r="Q215" s="129"/>
      <c r="R215" s="144" t="s">
        <v>670</v>
      </c>
    </row>
    <row r="216" spans="1:18" ht="24.95" customHeight="1">
      <c r="A216" s="8" t="s">
        <v>78</v>
      </c>
      <c r="B216" s="8" t="s">
        <v>85</v>
      </c>
      <c r="C216" s="8" t="s">
        <v>77</v>
      </c>
      <c r="D216" s="7">
        <v>8809491946154</v>
      </c>
      <c r="E216" s="3" t="s">
        <v>6</v>
      </c>
      <c r="F216" s="134" t="str">
        <f t="shared" si="16"/>
        <v>GLAMRR Q</v>
      </c>
      <c r="G216" s="2">
        <v>1</v>
      </c>
      <c r="H216" s="2"/>
      <c r="I216" s="147">
        <f t="shared" si="18"/>
        <v>1</v>
      </c>
      <c r="J216" s="4" t="s">
        <v>72</v>
      </c>
      <c r="K216" s="5">
        <v>46349</v>
      </c>
      <c r="L216" s="123">
        <f t="shared" ca="1" si="20"/>
        <v>46106</v>
      </c>
      <c r="M216" s="145">
        <v>36</v>
      </c>
      <c r="N216" s="150">
        <f t="shared" ca="1" si="19"/>
        <v>8.1</v>
      </c>
      <c r="O216" s="151">
        <f t="shared" ca="1" si="17"/>
        <v>0.22499999999999998</v>
      </c>
      <c r="P216" s="8"/>
      <c r="Q216" s="129"/>
      <c r="R216" s="144" t="s">
        <v>670</v>
      </c>
    </row>
    <row r="217" spans="1:18" ht="24.95" customHeight="1">
      <c r="A217" s="8" t="s">
        <v>78</v>
      </c>
      <c r="B217" s="8" t="s">
        <v>85</v>
      </c>
      <c r="C217" s="8" t="s">
        <v>77</v>
      </c>
      <c r="D217" s="7">
        <v>8809491946185</v>
      </c>
      <c r="E217" s="3" t="s">
        <v>9</v>
      </c>
      <c r="F217" s="134" t="str">
        <f t="shared" si="16"/>
        <v>GLAMRR Q</v>
      </c>
      <c r="G217" s="2">
        <v>1</v>
      </c>
      <c r="H217" s="2"/>
      <c r="I217" s="147">
        <f t="shared" si="18"/>
        <v>1</v>
      </c>
      <c r="J217" s="4" t="s">
        <v>72</v>
      </c>
      <c r="K217" s="5">
        <v>46349</v>
      </c>
      <c r="L217" s="123">
        <f t="shared" ca="1" si="20"/>
        <v>46106</v>
      </c>
      <c r="M217" s="145">
        <v>36</v>
      </c>
      <c r="N217" s="150">
        <f t="shared" ca="1" si="19"/>
        <v>8.1</v>
      </c>
      <c r="O217" s="151">
        <f t="shared" ca="1" si="17"/>
        <v>0.22499999999999998</v>
      </c>
      <c r="P217" s="8"/>
      <c r="Q217" s="129"/>
      <c r="R217" s="144" t="s">
        <v>670</v>
      </c>
    </row>
    <row r="218" spans="1:18" ht="24.95" customHeight="1">
      <c r="A218" s="8" t="s">
        <v>78</v>
      </c>
      <c r="B218" s="8" t="s">
        <v>85</v>
      </c>
      <c r="C218" s="8" t="s">
        <v>77</v>
      </c>
      <c r="D218" s="7">
        <v>8809491946192</v>
      </c>
      <c r="E218" s="3" t="s">
        <v>10</v>
      </c>
      <c r="F218" s="134" t="str">
        <f t="shared" si="16"/>
        <v>GLAMRR Q</v>
      </c>
      <c r="G218" s="2">
        <v>1</v>
      </c>
      <c r="H218" s="2"/>
      <c r="I218" s="147">
        <f t="shared" si="18"/>
        <v>1</v>
      </c>
      <c r="J218" s="4" t="s">
        <v>72</v>
      </c>
      <c r="K218" s="5">
        <v>46313</v>
      </c>
      <c r="L218" s="123">
        <f t="shared" ca="1" si="20"/>
        <v>46106</v>
      </c>
      <c r="M218" s="145">
        <v>36</v>
      </c>
      <c r="N218" s="150">
        <f t="shared" ca="1" si="19"/>
        <v>6.9</v>
      </c>
      <c r="O218" s="151">
        <f t="shared" ca="1" si="17"/>
        <v>0.19166666666666668</v>
      </c>
      <c r="P218" s="8"/>
      <c r="Q218" s="129"/>
      <c r="R218" s="144" t="s">
        <v>670</v>
      </c>
    </row>
    <row r="219" spans="1:18" ht="24.95" customHeight="1">
      <c r="A219" s="8" t="s">
        <v>78</v>
      </c>
      <c r="B219" s="8" t="s">
        <v>85</v>
      </c>
      <c r="C219" s="8" t="s">
        <v>77</v>
      </c>
      <c r="D219" s="7">
        <v>8809491946215</v>
      </c>
      <c r="E219" s="3" t="s">
        <v>12</v>
      </c>
      <c r="F219" s="134" t="str">
        <f t="shared" si="16"/>
        <v>GLAMRR Q</v>
      </c>
      <c r="G219" s="2">
        <v>1</v>
      </c>
      <c r="H219" s="2"/>
      <c r="I219" s="147">
        <f t="shared" si="18"/>
        <v>1</v>
      </c>
      <c r="J219" s="4" t="s">
        <v>72</v>
      </c>
      <c r="K219" s="5">
        <v>46325</v>
      </c>
      <c r="L219" s="123">
        <f t="shared" ca="1" si="20"/>
        <v>46106</v>
      </c>
      <c r="M219" s="145">
        <v>36</v>
      </c>
      <c r="N219" s="150">
        <f t="shared" ca="1" si="19"/>
        <v>7.3</v>
      </c>
      <c r="O219" s="151">
        <f t="shared" ca="1" si="17"/>
        <v>0.20277777777777778</v>
      </c>
      <c r="P219" s="8"/>
      <c r="Q219" s="129"/>
      <c r="R219" s="144" t="s">
        <v>670</v>
      </c>
    </row>
    <row r="220" spans="1:18" ht="24.95" customHeight="1">
      <c r="A220" s="8" t="s">
        <v>78</v>
      </c>
      <c r="B220" s="8" t="s">
        <v>85</v>
      </c>
      <c r="C220" s="8" t="s">
        <v>77</v>
      </c>
      <c r="D220" s="7">
        <v>8809491946222</v>
      </c>
      <c r="E220" s="3" t="s">
        <v>13</v>
      </c>
      <c r="F220" s="134" t="str">
        <f t="shared" si="16"/>
        <v>GLAMRR Q</v>
      </c>
      <c r="G220" s="2">
        <v>4</v>
      </c>
      <c r="H220" s="2"/>
      <c r="I220" s="147">
        <f t="shared" si="18"/>
        <v>4</v>
      </c>
      <c r="J220" s="4" t="s">
        <v>72</v>
      </c>
      <c r="K220" s="5">
        <v>46472</v>
      </c>
      <c r="L220" s="123">
        <f t="shared" ca="1" si="20"/>
        <v>46106</v>
      </c>
      <c r="M220" s="145">
        <v>36</v>
      </c>
      <c r="N220" s="150">
        <f t="shared" ca="1" si="19"/>
        <v>12.2</v>
      </c>
      <c r="O220" s="151">
        <f t="shared" ca="1" si="17"/>
        <v>0.33888888888888885</v>
      </c>
      <c r="P220" s="8"/>
      <c r="Q220" s="129"/>
      <c r="R220" s="144" t="s">
        <v>670</v>
      </c>
    </row>
    <row r="221" spans="1:18" ht="24.95" customHeight="1">
      <c r="A221" s="8" t="s">
        <v>78</v>
      </c>
      <c r="B221" s="8" t="s">
        <v>85</v>
      </c>
      <c r="C221" s="8" t="s">
        <v>77</v>
      </c>
      <c r="D221" s="7">
        <v>8809491946239</v>
      </c>
      <c r="E221" s="3" t="s">
        <v>14</v>
      </c>
      <c r="F221" s="134" t="str">
        <f t="shared" si="16"/>
        <v>GLAMRR Q</v>
      </c>
      <c r="G221" s="2">
        <v>1</v>
      </c>
      <c r="H221" s="2"/>
      <c r="I221" s="147">
        <f t="shared" si="18"/>
        <v>1</v>
      </c>
      <c r="J221" s="4" t="s">
        <v>72</v>
      </c>
      <c r="K221" s="5">
        <v>46472</v>
      </c>
      <c r="L221" s="123">
        <f t="shared" ca="1" si="20"/>
        <v>46106</v>
      </c>
      <c r="M221" s="145">
        <v>36</v>
      </c>
      <c r="N221" s="150">
        <f t="shared" ca="1" si="19"/>
        <v>12.2</v>
      </c>
      <c r="O221" s="151">
        <f t="shared" ca="1" si="17"/>
        <v>0.33888888888888885</v>
      </c>
      <c r="P221" s="8"/>
      <c r="Q221" s="129"/>
      <c r="R221" s="144" t="s">
        <v>670</v>
      </c>
    </row>
    <row r="222" spans="1:18" ht="24.95" customHeight="1">
      <c r="A222" s="8" t="s">
        <v>78</v>
      </c>
      <c r="B222" s="8" t="s">
        <v>85</v>
      </c>
      <c r="C222" s="8" t="s">
        <v>77</v>
      </c>
      <c r="D222" s="7">
        <v>8809864752238</v>
      </c>
      <c r="E222" s="3" t="s">
        <v>23</v>
      </c>
      <c r="F222" s="134" t="str">
        <f t="shared" si="16"/>
        <v>GLAMRR Q</v>
      </c>
      <c r="G222" s="2">
        <v>1</v>
      </c>
      <c r="H222" s="2"/>
      <c r="I222" s="147">
        <f t="shared" si="18"/>
        <v>1</v>
      </c>
      <c r="J222" s="4" t="s">
        <v>72</v>
      </c>
      <c r="K222" s="5">
        <v>46339</v>
      </c>
      <c r="L222" s="123">
        <f t="shared" ca="1" si="20"/>
        <v>46106</v>
      </c>
      <c r="M222" s="145">
        <v>36</v>
      </c>
      <c r="N222" s="150">
        <f t="shared" ca="1" si="19"/>
        <v>7.7666666666666666</v>
      </c>
      <c r="O222" s="151">
        <f t="shared" ca="1" si="17"/>
        <v>0.21574074074074073</v>
      </c>
      <c r="P222" s="8"/>
      <c r="Q222" s="129"/>
      <c r="R222" s="144" t="s">
        <v>670</v>
      </c>
    </row>
    <row r="223" spans="1:18" ht="24.95" customHeight="1">
      <c r="A223" s="8" t="s">
        <v>78</v>
      </c>
      <c r="B223" s="8" t="s">
        <v>85</v>
      </c>
      <c r="C223" s="8" t="s">
        <v>77</v>
      </c>
      <c r="D223" s="7">
        <v>8809864752238</v>
      </c>
      <c r="E223" s="3" t="s">
        <v>23</v>
      </c>
      <c r="F223" s="134" t="str">
        <f t="shared" si="16"/>
        <v>GLAMRR Q</v>
      </c>
      <c r="G223" s="2">
        <v>2</v>
      </c>
      <c r="H223" s="2"/>
      <c r="I223" s="147">
        <f t="shared" si="18"/>
        <v>2</v>
      </c>
      <c r="J223" s="4" t="s">
        <v>72</v>
      </c>
      <c r="K223" s="5">
        <v>46383</v>
      </c>
      <c r="L223" s="123">
        <f t="shared" ca="1" si="20"/>
        <v>46106</v>
      </c>
      <c r="M223" s="145">
        <v>36</v>
      </c>
      <c r="N223" s="150">
        <f t="shared" ca="1" si="19"/>
        <v>9.2333333333333325</v>
      </c>
      <c r="O223" s="151">
        <f t="shared" ca="1" si="17"/>
        <v>0.25648148148148148</v>
      </c>
      <c r="P223" s="8"/>
      <c r="Q223" s="129"/>
      <c r="R223" s="144" t="s">
        <v>670</v>
      </c>
    </row>
    <row r="224" spans="1:18" ht="24.95" customHeight="1">
      <c r="A224" s="8" t="s">
        <v>78</v>
      </c>
      <c r="B224" s="8" t="s">
        <v>85</v>
      </c>
      <c r="C224" s="8" t="s">
        <v>77</v>
      </c>
      <c r="D224" s="7">
        <v>8809864752245</v>
      </c>
      <c r="E224" s="3" t="s">
        <v>24</v>
      </c>
      <c r="F224" s="134" t="str">
        <f t="shared" si="16"/>
        <v>GLAMRR Q</v>
      </c>
      <c r="G224" s="8">
        <v>10</v>
      </c>
      <c r="H224" s="8"/>
      <c r="I224" s="147">
        <f t="shared" si="18"/>
        <v>10</v>
      </c>
      <c r="J224" s="4" t="s">
        <v>72</v>
      </c>
      <c r="K224" s="5">
        <v>46349</v>
      </c>
      <c r="L224" s="123">
        <f t="shared" ca="1" si="20"/>
        <v>46106</v>
      </c>
      <c r="M224" s="145">
        <v>36</v>
      </c>
      <c r="N224" s="150">
        <f t="shared" ca="1" si="19"/>
        <v>8.1</v>
      </c>
      <c r="O224" s="151">
        <f t="shared" ca="1" si="17"/>
        <v>0.22499999999999998</v>
      </c>
      <c r="P224" s="8"/>
      <c r="Q224" s="129"/>
      <c r="R224" s="144" t="s">
        <v>670</v>
      </c>
    </row>
    <row r="225" spans="1:18" ht="24.95" customHeight="1">
      <c r="A225" s="8" t="s">
        <v>78</v>
      </c>
      <c r="B225" s="8" t="s">
        <v>85</v>
      </c>
      <c r="C225" s="8" t="s">
        <v>77</v>
      </c>
      <c r="D225" s="7">
        <v>8809875904862</v>
      </c>
      <c r="E225" s="3" t="s">
        <v>25</v>
      </c>
      <c r="F225" s="134" t="str">
        <f t="shared" si="16"/>
        <v>GLAMRR Q</v>
      </c>
      <c r="G225" s="8">
        <v>1</v>
      </c>
      <c r="H225" s="8"/>
      <c r="I225" s="147">
        <f t="shared" si="18"/>
        <v>1</v>
      </c>
      <c r="J225" s="4" t="s">
        <v>72</v>
      </c>
      <c r="K225" s="5">
        <v>46380</v>
      </c>
      <c r="L225" s="123">
        <f t="shared" ca="1" si="20"/>
        <v>46106</v>
      </c>
      <c r="M225" s="145">
        <v>36</v>
      </c>
      <c r="N225" s="150">
        <f t="shared" ca="1" si="19"/>
        <v>9.1333333333333329</v>
      </c>
      <c r="O225" s="151">
        <f t="shared" ca="1" si="17"/>
        <v>0.25370370370370371</v>
      </c>
      <c r="P225" s="8"/>
      <c r="Q225" s="129"/>
      <c r="R225" s="144" t="s">
        <v>670</v>
      </c>
    </row>
    <row r="226" spans="1:18" ht="24.95" customHeight="1">
      <c r="A226" s="8" t="s">
        <v>78</v>
      </c>
      <c r="B226" s="8" t="s">
        <v>85</v>
      </c>
      <c r="C226" s="8" t="s">
        <v>77</v>
      </c>
      <c r="D226" s="7">
        <v>8809875904862</v>
      </c>
      <c r="E226" s="3" t="s">
        <v>25</v>
      </c>
      <c r="F226" s="134" t="str">
        <f t="shared" si="16"/>
        <v>GLAMRR Q</v>
      </c>
      <c r="G226" s="8">
        <v>3</v>
      </c>
      <c r="H226" s="8"/>
      <c r="I226" s="147">
        <f t="shared" si="18"/>
        <v>3</v>
      </c>
      <c r="J226" s="4" t="s">
        <v>72</v>
      </c>
      <c r="K226" s="5">
        <v>46348</v>
      </c>
      <c r="L226" s="123">
        <f t="shared" ca="1" si="20"/>
        <v>46106</v>
      </c>
      <c r="M226" s="145">
        <v>36</v>
      </c>
      <c r="N226" s="150">
        <f t="shared" ca="1" si="19"/>
        <v>8.0666666666666664</v>
      </c>
      <c r="O226" s="151">
        <f t="shared" ca="1" si="17"/>
        <v>0.22407407407407406</v>
      </c>
      <c r="P226" s="8"/>
      <c r="Q226" s="129"/>
      <c r="R226" s="144" t="s">
        <v>670</v>
      </c>
    </row>
    <row r="227" spans="1:18" ht="24.95" customHeight="1">
      <c r="A227" s="8" t="s">
        <v>78</v>
      </c>
      <c r="B227" s="8" t="s">
        <v>85</v>
      </c>
      <c r="C227" s="8" t="s">
        <v>77</v>
      </c>
      <c r="D227" s="7">
        <v>8809875904879</v>
      </c>
      <c r="E227" s="3" t="s">
        <v>26</v>
      </c>
      <c r="F227" s="134" t="str">
        <f t="shared" si="16"/>
        <v>GLAMRR Q</v>
      </c>
      <c r="G227" s="2">
        <v>2</v>
      </c>
      <c r="H227" s="2"/>
      <c r="I227" s="147">
        <f t="shared" si="18"/>
        <v>2</v>
      </c>
      <c r="J227" s="4" t="s">
        <v>72</v>
      </c>
      <c r="K227" s="5">
        <v>46356</v>
      </c>
      <c r="L227" s="123">
        <f t="shared" ca="1" si="20"/>
        <v>46106</v>
      </c>
      <c r="M227" s="145">
        <v>36</v>
      </c>
      <c r="N227" s="150">
        <f t="shared" ca="1" si="19"/>
        <v>8.3333333333333339</v>
      </c>
      <c r="O227" s="151">
        <f t="shared" ca="1" si="17"/>
        <v>0.23148148148148151</v>
      </c>
      <c r="P227" s="8"/>
      <c r="Q227" s="129"/>
      <c r="R227" s="144" t="s">
        <v>670</v>
      </c>
    </row>
    <row r="228" spans="1:18" ht="24.95" customHeight="1">
      <c r="A228" s="8" t="s">
        <v>78</v>
      </c>
      <c r="B228" s="8" t="s">
        <v>85</v>
      </c>
      <c r="C228" s="8" t="s">
        <v>77</v>
      </c>
      <c r="D228" s="7">
        <v>8809875904879</v>
      </c>
      <c r="E228" s="3" t="s">
        <v>26</v>
      </c>
      <c r="F228" s="134" t="str">
        <f t="shared" si="16"/>
        <v>GLAMRR Q</v>
      </c>
      <c r="G228" s="2">
        <v>3</v>
      </c>
      <c r="H228" s="2"/>
      <c r="I228" s="147">
        <f t="shared" si="18"/>
        <v>3</v>
      </c>
      <c r="J228" s="4" t="s">
        <v>72</v>
      </c>
      <c r="K228" s="5">
        <v>46452</v>
      </c>
      <c r="L228" s="123">
        <f t="shared" ca="1" si="20"/>
        <v>46106</v>
      </c>
      <c r="M228" s="145">
        <v>36</v>
      </c>
      <c r="N228" s="150">
        <f t="shared" ca="1" si="19"/>
        <v>11.533333333333333</v>
      </c>
      <c r="O228" s="151">
        <f t="shared" ca="1" si="17"/>
        <v>0.32037037037037036</v>
      </c>
      <c r="P228" s="8"/>
      <c r="Q228" s="129"/>
      <c r="R228" s="144" t="s">
        <v>670</v>
      </c>
    </row>
    <row r="229" spans="1:18" ht="24.95" customHeight="1">
      <c r="A229" s="8" t="s">
        <v>78</v>
      </c>
      <c r="B229" s="8" t="s">
        <v>85</v>
      </c>
      <c r="C229" s="8" t="s">
        <v>77</v>
      </c>
      <c r="D229" s="7">
        <v>8809875904879</v>
      </c>
      <c r="E229" s="3" t="s">
        <v>26</v>
      </c>
      <c r="F229" s="134" t="str">
        <f t="shared" si="16"/>
        <v>GLAMRR Q</v>
      </c>
      <c r="G229" s="2">
        <v>2</v>
      </c>
      <c r="H229" s="2"/>
      <c r="I229" s="147">
        <f t="shared" si="18"/>
        <v>2</v>
      </c>
      <c r="J229" s="4" t="s">
        <v>72</v>
      </c>
      <c r="K229" s="5">
        <v>46356</v>
      </c>
      <c r="L229" s="123">
        <f t="shared" ca="1" si="20"/>
        <v>46106</v>
      </c>
      <c r="M229" s="145">
        <v>36</v>
      </c>
      <c r="N229" s="150">
        <f t="shared" ca="1" si="19"/>
        <v>8.3333333333333339</v>
      </c>
      <c r="O229" s="151">
        <f t="shared" ca="1" si="17"/>
        <v>0.23148148148148151</v>
      </c>
      <c r="P229" s="8"/>
      <c r="Q229" s="129"/>
      <c r="R229" s="144" t="s">
        <v>670</v>
      </c>
    </row>
    <row r="230" spans="1:18" ht="24.95" customHeight="1">
      <c r="A230" s="8" t="s">
        <v>78</v>
      </c>
      <c r="B230" s="8" t="s">
        <v>85</v>
      </c>
      <c r="C230" s="8" t="s">
        <v>77</v>
      </c>
      <c r="D230" s="7">
        <v>8809875904879</v>
      </c>
      <c r="E230" s="3" t="s">
        <v>26</v>
      </c>
      <c r="F230" s="134" t="str">
        <f t="shared" si="16"/>
        <v>GLAMRR Q</v>
      </c>
      <c r="G230" s="2">
        <v>1</v>
      </c>
      <c r="H230" s="2"/>
      <c r="I230" s="147">
        <f t="shared" si="18"/>
        <v>1</v>
      </c>
      <c r="J230" s="4" t="s">
        <v>72</v>
      </c>
      <c r="K230" s="5">
        <v>46348</v>
      </c>
      <c r="L230" s="123">
        <f t="shared" ca="1" si="20"/>
        <v>46106</v>
      </c>
      <c r="M230" s="145">
        <v>36</v>
      </c>
      <c r="N230" s="150">
        <f t="shared" ca="1" si="19"/>
        <v>8.0666666666666664</v>
      </c>
      <c r="O230" s="151">
        <f t="shared" ca="1" si="17"/>
        <v>0.22407407407407406</v>
      </c>
      <c r="P230" s="8"/>
      <c r="Q230" s="129"/>
      <c r="R230" s="144" t="s">
        <v>670</v>
      </c>
    </row>
    <row r="231" spans="1:18" ht="24.95" customHeight="1">
      <c r="A231" s="8" t="s">
        <v>78</v>
      </c>
      <c r="B231" s="8" t="s">
        <v>85</v>
      </c>
      <c r="C231" s="8" t="s">
        <v>77</v>
      </c>
      <c r="D231" s="7">
        <v>8809875904879</v>
      </c>
      <c r="E231" s="3" t="s">
        <v>26</v>
      </c>
      <c r="F231" s="134" t="str">
        <f t="shared" si="16"/>
        <v>GLAMRR Q</v>
      </c>
      <c r="G231" s="2">
        <v>1</v>
      </c>
      <c r="H231" s="2"/>
      <c r="I231" s="147">
        <f t="shared" si="18"/>
        <v>1</v>
      </c>
      <c r="J231" s="4" t="s">
        <v>72</v>
      </c>
      <c r="K231" s="5">
        <v>46380</v>
      </c>
      <c r="L231" s="123">
        <f t="shared" ca="1" si="20"/>
        <v>46106</v>
      </c>
      <c r="M231" s="145">
        <v>36</v>
      </c>
      <c r="N231" s="150">
        <f t="shared" ca="1" si="19"/>
        <v>9.1333333333333329</v>
      </c>
      <c r="O231" s="151">
        <f t="shared" ca="1" si="17"/>
        <v>0.25370370370370371</v>
      </c>
      <c r="P231" s="8"/>
      <c r="Q231" s="129"/>
      <c r="R231" s="144" t="s">
        <v>670</v>
      </c>
    </row>
    <row r="232" spans="1:18" ht="24.95" customHeight="1">
      <c r="A232" s="8" t="s">
        <v>81</v>
      </c>
      <c r="B232" s="8" t="s">
        <v>85</v>
      </c>
      <c r="C232" s="8" t="s">
        <v>73</v>
      </c>
      <c r="D232" s="114">
        <v>8809526841393</v>
      </c>
      <c r="E232" s="130" t="s">
        <v>19</v>
      </c>
      <c r="F232" s="134" t="str">
        <f t="shared" si="16"/>
        <v>GLAMRR Q</v>
      </c>
      <c r="G232" s="2">
        <v>1</v>
      </c>
      <c r="H232" s="2"/>
      <c r="I232" s="147">
        <f t="shared" si="18"/>
        <v>1</v>
      </c>
      <c r="J232" s="8" t="s">
        <v>79</v>
      </c>
      <c r="K232" s="120">
        <v>46786</v>
      </c>
      <c r="L232" s="123">
        <f t="shared" ca="1" si="20"/>
        <v>46106</v>
      </c>
      <c r="M232" s="145">
        <v>36</v>
      </c>
      <c r="N232" s="150">
        <f t="shared" ca="1" si="19"/>
        <v>22.666666666666668</v>
      </c>
      <c r="O232" s="151">
        <f t="shared" ca="1" si="17"/>
        <v>0.62962962962962965</v>
      </c>
      <c r="P232" s="8"/>
      <c r="Q232" s="131" t="s">
        <v>87</v>
      </c>
      <c r="R232" s="144" t="s">
        <v>670</v>
      </c>
    </row>
    <row r="233" spans="1:18" ht="24.95" customHeight="1">
      <c r="A233" s="8" t="s">
        <v>666</v>
      </c>
      <c r="B233" s="8" t="s">
        <v>85</v>
      </c>
      <c r="C233" s="8" t="s">
        <v>77</v>
      </c>
      <c r="D233" s="114">
        <v>8800296553363</v>
      </c>
      <c r="E233" s="130" t="s">
        <v>84</v>
      </c>
      <c r="F233" s="134" t="str">
        <f t="shared" si="16"/>
        <v>GLAMRR Q</v>
      </c>
      <c r="G233" s="2">
        <v>1</v>
      </c>
      <c r="H233" s="2"/>
      <c r="I233" s="147">
        <f t="shared" si="18"/>
        <v>1</v>
      </c>
      <c r="J233" s="8" t="s">
        <v>79</v>
      </c>
      <c r="K233" s="120">
        <v>46755</v>
      </c>
      <c r="L233" s="123">
        <f t="shared" ca="1" si="20"/>
        <v>46106</v>
      </c>
      <c r="M233" s="145">
        <v>36</v>
      </c>
      <c r="N233" s="150">
        <f t="shared" ca="1" si="19"/>
        <v>21.633333333333333</v>
      </c>
      <c r="O233" s="151">
        <f t="shared" ca="1" si="17"/>
        <v>0.60092592592592586</v>
      </c>
      <c r="P233" s="8"/>
      <c r="Q233" s="131" t="s">
        <v>86</v>
      </c>
      <c r="R233" s="144" t="s">
        <v>670</v>
      </c>
    </row>
    <row r="234" spans="1:18" ht="24.95" customHeight="1">
      <c r="A234" s="8" t="s">
        <v>667</v>
      </c>
      <c r="B234" s="8" t="s">
        <v>85</v>
      </c>
      <c r="C234" s="8" t="s">
        <v>76</v>
      </c>
      <c r="D234" s="114">
        <v>8809268159350</v>
      </c>
      <c r="E234" s="130" t="s">
        <v>89</v>
      </c>
      <c r="F234" s="134" t="str">
        <f t="shared" si="16"/>
        <v>DE MEMORIA</v>
      </c>
      <c r="G234" s="2">
        <v>1</v>
      </c>
      <c r="H234" s="2"/>
      <c r="I234" s="147">
        <f t="shared" si="18"/>
        <v>1</v>
      </c>
      <c r="J234" s="8" t="s">
        <v>79</v>
      </c>
      <c r="K234" s="124">
        <v>46526</v>
      </c>
      <c r="L234" s="123">
        <f t="shared" ca="1" si="20"/>
        <v>46106</v>
      </c>
      <c r="M234" s="145">
        <v>36</v>
      </c>
      <c r="N234" s="150">
        <f t="shared" ca="1" si="19"/>
        <v>14</v>
      </c>
      <c r="O234" s="151">
        <f t="shared" ca="1" si="17"/>
        <v>0.3888888888888889</v>
      </c>
      <c r="P234" s="8"/>
      <c r="Q234" s="131" t="s">
        <v>88</v>
      </c>
      <c r="R234" s="144" t="s">
        <v>670</v>
      </c>
    </row>
    <row r="235" spans="1:18" ht="24.95" customHeight="1">
      <c r="A235" s="8" t="s">
        <v>667</v>
      </c>
      <c r="B235" s="8" t="s">
        <v>85</v>
      </c>
      <c r="C235" s="8" t="s">
        <v>76</v>
      </c>
      <c r="D235" s="114">
        <v>8800296553363</v>
      </c>
      <c r="E235" s="130" t="s">
        <v>84</v>
      </c>
      <c r="F235" s="134" t="str">
        <f t="shared" si="16"/>
        <v>GLAMRR Q</v>
      </c>
      <c r="G235" s="2">
        <v>1</v>
      </c>
      <c r="H235" s="2"/>
      <c r="I235" s="147">
        <f t="shared" si="18"/>
        <v>1</v>
      </c>
      <c r="J235" s="8" t="s">
        <v>79</v>
      </c>
      <c r="K235" s="124">
        <v>46755</v>
      </c>
      <c r="L235" s="123">
        <f t="shared" ca="1" si="20"/>
        <v>46106</v>
      </c>
      <c r="M235" s="145">
        <v>36</v>
      </c>
      <c r="N235" s="150">
        <f t="shared" ca="1" si="19"/>
        <v>21.633333333333333</v>
      </c>
      <c r="O235" s="151">
        <f t="shared" ca="1" si="17"/>
        <v>0.60092592592592586</v>
      </c>
      <c r="P235" s="8"/>
      <c r="Q235" s="131" t="s">
        <v>88</v>
      </c>
      <c r="R235" s="144" t="s">
        <v>670</v>
      </c>
    </row>
    <row r="236" spans="1:18" ht="24.95" customHeight="1">
      <c r="A236" s="8" t="s">
        <v>668</v>
      </c>
      <c r="B236" s="8" t="s">
        <v>85</v>
      </c>
      <c r="C236" s="8" t="s">
        <v>77</v>
      </c>
      <c r="D236" s="132">
        <v>8809820741566</v>
      </c>
      <c r="E236" s="130" t="str">
        <f>VLOOKUP(D236,Dang_le!$C:$D,2,0)</f>
        <v>Bảng bắt sáng MUDE (FULL BLOOM GLOW PALETTE 01 BLOOMING, 5g)</v>
      </c>
      <c r="F236" s="134" t="str">
        <f t="shared" si="16"/>
        <v>MUDE</v>
      </c>
      <c r="G236" s="2">
        <v>2</v>
      </c>
      <c r="H236" s="2"/>
      <c r="I236" s="147">
        <f t="shared" si="18"/>
        <v>2</v>
      </c>
      <c r="J236" s="8" t="s">
        <v>512</v>
      </c>
      <c r="K236" s="120">
        <v>46593</v>
      </c>
      <c r="L236" s="123">
        <f t="shared" ca="1" si="20"/>
        <v>46106</v>
      </c>
      <c r="M236" s="145">
        <v>36</v>
      </c>
      <c r="N236" s="150">
        <f t="shared" ca="1" si="19"/>
        <v>16.233333333333334</v>
      </c>
      <c r="O236" s="151">
        <f t="shared" ca="1" si="17"/>
        <v>0.45092592592592595</v>
      </c>
      <c r="P236" s="8"/>
      <c r="Q236" s="131" t="s">
        <v>90</v>
      </c>
      <c r="R236" s="144" t="s">
        <v>670</v>
      </c>
    </row>
    <row r="237" spans="1:18" ht="24.95" customHeight="1">
      <c r="A237" s="8" t="s">
        <v>513</v>
      </c>
      <c r="B237" s="8" t="s">
        <v>85</v>
      </c>
      <c r="C237" s="8" t="s">
        <v>73</v>
      </c>
      <c r="D237" s="111">
        <v>8809738603499</v>
      </c>
      <c r="E237" s="154" t="s">
        <v>111</v>
      </c>
      <c r="F237" s="134" t="str">
        <f t="shared" si="16"/>
        <v>DE MEMORIA</v>
      </c>
      <c r="G237" s="112">
        <v>3</v>
      </c>
      <c r="H237" s="112"/>
      <c r="I237" s="147">
        <f t="shared" si="18"/>
        <v>3</v>
      </c>
      <c r="J237" s="113" t="s">
        <v>514</v>
      </c>
      <c r="K237" s="119">
        <v>46395</v>
      </c>
      <c r="L237" s="123">
        <f t="shared" ca="1" si="20"/>
        <v>46106</v>
      </c>
      <c r="M237" s="145">
        <v>36</v>
      </c>
      <c r="N237" s="150">
        <f t="shared" ca="1" si="19"/>
        <v>9.6333333333333329</v>
      </c>
      <c r="O237" s="151">
        <f t="shared" ca="1" si="17"/>
        <v>0.2675925925925926</v>
      </c>
      <c r="P237" s="8"/>
      <c r="Q237" s="129"/>
      <c r="R237" s="144" t="s">
        <v>670</v>
      </c>
    </row>
    <row r="238" spans="1:18" ht="24.95" customHeight="1">
      <c r="A238" s="8" t="s">
        <v>513</v>
      </c>
      <c r="B238" s="8" t="s">
        <v>85</v>
      </c>
      <c r="C238" s="8" t="s">
        <v>73</v>
      </c>
      <c r="D238" s="111">
        <v>8809526840891</v>
      </c>
      <c r="E238" s="154" t="s">
        <v>255</v>
      </c>
      <c r="F238" s="134" t="str">
        <f t="shared" si="16"/>
        <v>GILAA</v>
      </c>
      <c r="G238" s="112">
        <v>1</v>
      </c>
      <c r="H238" s="112"/>
      <c r="I238" s="147">
        <f t="shared" si="18"/>
        <v>1</v>
      </c>
      <c r="J238" s="113" t="s">
        <v>39</v>
      </c>
      <c r="K238" s="119">
        <v>46055</v>
      </c>
      <c r="L238" s="123">
        <f t="shared" ca="1" si="20"/>
        <v>46106</v>
      </c>
      <c r="M238" s="145">
        <v>36</v>
      </c>
      <c r="N238" s="150">
        <f t="shared" ca="1" si="19"/>
        <v>-1.7</v>
      </c>
      <c r="O238" s="151">
        <f t="shared" ca="1" si="17"/>
        <v>-4.7222222222222221E-2</v>
      </c>
      <c r="P238" s="8"/>
      <c r="Q238" s="129"/>
      <c r="R238" s="144" t="s">
        <v>670</v>
      </c>
    </row>
    <row r="239" spans="1:18" ht="24.95" customHeight="1">
      <c r="A239" s="8" t="s">
        <v>513</v>
      </c>
      <c r="B239" s="8" t="s">
        <v>85</v>
      </c>
      <c r="C239" s="8" t="s">
        <v>73</v>
      </c>
      <c r="D239" s="114">
        <v>8809783326794</v>
      </c>
      <c r="E239" s="154" t="s">
        <v>62</v>
      </c>
      <c r="F239" s="134" t="str">
        <f t="shared" si="16"/>
        <v>GLAMRR Q</v>
      </c>
      <c r="G239" s="112">
        <v>2</v>
      </c>
      <c r="H239" s="112"/>
      <c r="I239" s="147">
        <f t="shared" si="18"/>
        <v>2</v>
      </c>
      <c r="J239" s="113" t="s">
        <v>39</v>
      </c>
      <c r="K239" s="120">
        <v>46332</v>
      </c>
      <c r="L239" s="123">
        <f t="shared" ca="1" si="20"/>
        <v>46106</v>
      </c>
      <c r="M239" s="145">
        <v>36</v>
      </c>
      <c r="N239" s="150">
        <f t="shared" ca="1" si="19"/>
        <v>7.5333333333333332</v>
      </c>
      <c r="O239" s="151">
        <f t="shared" ca="1" si="17"/>
        <v>0.20925925925925926</v>
      </c>
      <c r="P239" s="8"/>
      <c r="Q239" s="129"/>
      <c r="R239" s="144" t="s">
        <v>670</v>
      </c>
    </row>
    <row r="240" spans="1:18" ht="24.95" customHeight="1">
      <c r="A240" s="8" t="s">
        <v>513</v>
      </c>
      <c r="B240" s="8" t="s">
        <v>85</v>
      </c>
      <c r="C240" s="8" t="s">
        <v>73</v>
      </c>
      <c r="D240" s="111">
        <v>8809491946154</v>
      </c>
      <c r="E240" s="154" t="s">
        <v>6</v>
      </c>
      <c r="F240" s="134" t="str">
        <f t="shared" si="16"/>
        <v>GLAMRR Q</v>
      </c>
      <c r="G240" s="112">
        <v>74</v>
      </c>
      <c r="H240" s="112"/>
      <c r="I240" s="147">
        <f t="shared" si="18"/>
        <v>74</v>
      </c>
      <c r="J240" s="113" t="s">
        <v>39</v>
      </c>
      <c r="K240" s="119">
        <v>46349</v>
      </c>
      <c r="L240" s="123">
        <f t="shared" ca="1" si="20"/>
        <v>46106</v>
      </c>
      <c r="M240" s="145">
        <v>36</v>
      </c>
      <c r="N240" s="150">
        <f t="shared" ca="1" si="19"/>
        <v>8.1</v>
      </c>
      <c r="O240" s="151">
        <f t="shared" ca="1" si="17"/>
        <v>0.22499999999999998</v>
      </c>
      <c r="P240" s="8"/>
      <c r="Q240" s="129"/>
      <c r="R240" s="144" t="s">
        <v>670</v>
      </c>
    </row>
    <row r="241" spans="1:18" ht="24.95" customHeight="1">
      <c r="A241" s="8" t="s">
        <v>513</v>
      </c>
      <c r="B241" s="8" t="s">
        <v>85</v>
      </c>
      <c r="C241" s="8" t="s">
        <v>73</v>
      </c>
      <c r="D241" s="111">
        <v>8809491946154</v>
      </c>
      <c r="E241" s="154" t="s">
        <v>6</v>
      </c>
      <c r="F241" s="134" t="str">
        <f t="shared" si="16"/>
        <v>GLAMRR Q</v>
      </c>
      <c r="G241" s="112">
        <v>9</v>
      </c>
      <c r="H241" s="112"/>
      <c r="I241" s="147">
        <f t="shared" si="18"/>
        <v>9</v>
      </c>
      <c r="J241" s="113" t="s">
        <v>39</v>
      </c>
      <c r="K241" s="119">
        <v>46222</v>
      </c>
      <c r="L241" s="123">
        <f t="shared" ca="1" si="20"/>
        <v>46106</v>
      </c>
      <c r="M241" s="145">
        <v>36</v>
      </c>
      <c r="N241" s="150">
        <f t="shared" ca="1" si="19"/>
        <v>3.8666666666666667</v>
      </c>
      <c r="O241" s="151">
        <f t="shared" ca="1" si="17"/>
        <v>0.10740740740740741</v>
      </c>
      <c r="P241" s="8"/>
      <c r="Q241" s="129"/>
      <c r="R241" s="144" t="s">
        <v>670</v>
      </c>
    </row>
    <row r="242" spans="1:18" ht="24.95" customHeight="1">
      <c r="A242" s="8" t="s">
        <v>513</v>
      </c>
      <c r="B242" s="8" t="s">
        <v>85</v>
      </c>
      <c r="C242" s="8" t="s">
        <v>73</v>
      </c>
      <c r="D242" s="111">
        <v>8809491946161</v>
      </c>
      <c r="E242" s="154" t="s">
        <v>7</v>
      </c>
      <c r="F242" s="134" t="str">
        <f t="shared" si="16"/>
        <v>GLAMRR Q</v>
      </c>
      <c r="G242" s="112">
        <v>1</v>
      </c>
      <c r="H242" s="112"/>
      <c r="I242" s="147">
        <f t="shared" si="18"/>
        <v>1</v>
      </c>
      <c r="J242" s="113" t="s">
        <v>39</v>
      </c>
      <c r="K242" s="119">
        <v>46199</v>
      </c>
      <c r="L242" s="123">
        <f t="shared" ca="1" si="20"/>
        <v>46106</v>
      </c>
      <c r="M242" s="145">
        <v>36</v>
      </c>
      <c r="N242" s="150">
        <f t="shared" ca="1" si="19"/>
        <v>3.1</v>
      </c>
      <c r="O242" s="151">
        <f t="shared" ca="1" si="17"/>
        <v>8.611111111111111E-2</v>
      </c>
      <c r="P242" s="8"/>
      <c r="Q242" s="129"/>
      <c r="R242" s="144" t="s">
        <v>670</v>
      </c>
    </row>
    <row r="243" spans="1:18" ht="24.95" customHeight="1">
      <c r="A243" s="8" t="s">
        <v>513</v>
      </c>
      <c r="B243" s="8" t="s">
        <v>85</v>
      </c>
      <c r="C243" s="8" t="s">
        <v>73</v>
      </c>
      <c r="D243" s="111">
        <v>8809491946161</v>
      </c>
      <c r="E243" s="154" t="s">
        <v>7</v>
      </c>
      <c r="F243" s="134" t="str">
        <f t="shared" si="16"/>
        <v>GLAMRR Q</v>
      </c>
      <c r="G243" s="112">
        <v>1</v>
      </c>
      <c r="H243" s="112"/>
      <c r="I243" s="147">
        <f t="shared" si="18"/>
        <v>1</v>
      </c>
      <c r="J243" s="113" t="s">
        <v>39</v>
      </c>
      <c r="K243" s="119">
        <v>46061</v>
      </c>
      <c r="L243" s="123">
        <f t="shared" ca="1" si="20"/>
        <v>46106</v>
      </c>
      <c r="M243" s="145">
        <v>36</v>
      </c>
      <c r="N243" s="150">
        <f t="shared" ca="1" si="19"/>
        <v>-1.5</v>
      </c>
      <c r="O243" s="151">
        <f t="shared" ca="1" si="17"/>
        <v>-4.1666666666666664E-2</v>
      </c>
      <c r="P243" s="8"/>
      <c r="Q243" s="129"/>
      <c r="R243" s="144" t="s">
        <v>670</v>
      </c>
    </row>
    <row r="244" spans="1:18" ht="24.95" customHeight="1">
      <c r="A244" s="8" t="s">
        <v>513</v>
      </c>
      <c r="B244" s="8" t="s">
        <v>85</v>
      </c>
      <c r="C244" s="8" t="s">
        <v>73</v>
      </c>
      <c r="D244" s="111">
        <v>8809491946161</v>
      </c>
      <c r="E244" s="154" t="s">
        <v>7</v>
      </c>
      <c r="F244" s="134" t="str">
        <f t="shared" si="16"/>
        <v>GLAMRR Q</v>
      </c>
      <c r="G244" s="112">
        <v>7</v>
      </c>
      <c r="H244" s="112"/>
      <c r="I244" s="147">
        <f t="shared" si="18"/>
        <v>7</v>
      </c>
      <c r="J244" s="113" t="s">
        <v>39</v>
      </c>
      <c r="K244" s="119">
        <v>46201</v>
      </c>
      <c r="L244" s="123">
        <f t="shared" ca="1" si="20"/>
        <v>46106</v>
      </c>
      <c r="M244" s="145">
        <v>36</v>
      </c>
      <c r="N244" s="150">
        <f t="shared" ca="1" si="19"/>
        <v>3.1666666666666665</v>
      </c>
      <c r="O244" s="151">
        <f t="shared" ca="1" si="17"/>
        <v>8.7962962962962965E-2</v>
      </c>
      <c r="P244" s="8"/>
      <c r="Q244" s="129"/>
      <c r="R244" s="144" t="s">
        <v>670</v>
      </c>
    </row>
    <row r="245" spans="1:18" ht="24.95" customHeight="1">
      <c r="A245" s="8" t="s">
        <v>513</v>
      </c>
      <c r="B245" s="8" t="s">
        <v>85</v>
      </c>
      <c r="C245" s="8" t="s">
        <v>73</v>
      </c>
      <c r="D245" s="111">
        <v>8809491946185</v>
      </c>
      <c r="E245" s="154" t="s">
        <v>9</v>
      </c>
      <c r="F245" s="134" t="str">
        <f t="shared" si="16"/>
        <v>GLAMRR Q</v>
      </c>
      <c r="G245" s="112">
        <v>1</v>
      </c>
      <c r="H245" s="112"/>
      <c r="I245" s="147">
        <f t="shared" si="18"/>
        <v>1</v>
      </c>
      <c r="J245" s="113" t="s">
        <v>39</v>
      </c>
      <c r="K245" s="119">
        <v>46061</v>
      </c>
      <c r="L245" s="123">
        <f t="shared" ca="1" si="20"/>
        <v>46106</v>
      </c>
      <c r="M245" s="145">
        <v>36</v>
      </c>
      <c r="N245" s="150">
        <f t="shared" ca="1" si="19"/>
        <v>-1.5</v>
      </c>
      <c r="O245" s="151">
        <f t="shared" ca="1" si="17"/>
        <v>-4.1666666666666664E-2</v>
      </c>
      <c r="P245" s="8"/>
      <c r="Q245" s="129"/>
      <c r="R245" s="144" t="s">
        <v>670</v>
      </c>
    </row>
    <row r="246" spans="1:18" ht="24.95" customHeight="1">
      <c r="A246" s="8" t="s">
        <v>513</v>
      </c>
      <c r="B246" s="8" t="s">
        <v>85</v>
      </c>
      <c r="C246" s="8" t="s">
        <v>73</v>
      </c>
      <c r="D246" s="111">
        <v>8809491946185</v>
      </c>
      <c r="E246" s="154" t="s">
        <v>9</v>
      </c>
      <c r="F246" s="134" t="str">
        <f t="shared" si="16"/>
        <v>GLAMRR Q</v>
      </c>
      <c r="G246" s="112">
        <v>14</v>
      </c>
      <c r="H246" s="112"/>
      <c r="I246" s="147">
        <f t="shared" si="18"/>
        <v>14</v>
      </c>
      <c r="J246" s="113" t="s">
        <v>39</v>
      </c>
      <c r="K246" s="119">
        <v>46221</v>
      </c>
      <c r="L246" s="123">
        <f t="shared" ca="1" si="20"/>
        <v>46106</v>
      </c>
      <c r="M246" s="145">
        <v>36</v>
      </c>
      <c r="N246" s="150">
        <f t="shared" ca="1" si="19"/>
        <v>3.8333333333333335</v>
      </c>
      <c r="O246" s="151">
        <f t="shared" ca="1" si="17"/>
        <v>0.10648148148148148</v>
      </c>
      <c r="P246" s="8"/>
      <c r="Q246" s="129"/>
      <c r="R246" s="144" t="s">
        <v>670</v>
      </c>
    </row>
    <row r="247" spans="1:18" ht="24.95" customHeight="1">
      <c r="A247" s="8" t="s">
        <v>513</v>
      </c>
      <c r="B247" s="8" t="s">
        <v>85</v>
      </c>
      <c r="C247" s="8" t="s">
        <v>73</v>
      </c>
      <c r="D247" s="111">
        <v>8809491946185</v>
      </c>
      <c r="E247" s="154" t="s">
        <v>9</v>
      </c>
      <c r="F247" s="134" t="str">
        <f t="shared" si="16"/>
        <v>GLAMRR Q</v>
      </c>
      <c r="G247" s="112">
        <v>3</v>
      </c>
      <c r="H247" s="112"/>
      <c r="I247" s="147">
        <f t="shared" si="18"/>
        <v>3</v>
      </c>
      <c r="J247" s="113" t="s">
        <v>39</v>
      </c>
      <c r="K247" s="119">
        <v>46349</v>
      </c>
      <c r="L247" s="123">
        <f t="shared" ca="1" si="20"/>
        <v>46106</v>
      </c>
      <c r="M247" s="145">
        <v>36</v>
      </c>
      <c r="N247" s="150">
        <f t="shared" ca="1" si="19"/>
        <v>8.1</v>
      </c>
      <c r="O247" s="151">
        <f t="shared" ca="1" si="17"/>
        <v>0.22499999999999998</v>
      </c>
      <c r="P247" s="8"/>
      <c r="Q247" s="129"/>
      <c r="R247" s="144" t="s">
        <v>670</v>
      </c>
    </row>
    <row r="248" spans="1:18" ht="24.95" customHeight="1">
      <c r="A248" s="8" t="s">
        <v>513</v>
      </c>
      <c r="B248" s="8" t="s">
        <v>85</v>
      </c>
      <c r="C248" s="8" t="s">
        <v>73</v>
      </c>
      <c r="D248" s="111">
        <v>8809491946192</v>
      </c>
      <c r="E248" s="154" t="s">
        <v>10</v>
      </c>
      <c r="F248" s="134" t="str">
        <f t="shared" si="16"/>
        <v>GLAMRR Q</v>
      </c>
      <c r="G248" s="112">
        <v>1</v>
      </c>
      <c r="H248" s="112"/>
      <c r="I248" s="147">
        <f t="shared" si="18"/>
        <v>1</v>
      </c>
      <c r="J248" s="113" t="s">
        <v>39</v>
      </c>
      <c r="K248" s="119">
        <v>46061</v>
      </c>
      <c r="L248" s="123">
        <f t="shared" ca="1" si="20"/>
        <v>46106</v>
      </c>
      <c r="M248" s="145">
        <v>36</v>
      </c>
      <c r="N248" s="150">
        <f t="shared" ca="1" si="19"/>
        <v>-1.5</v>
      </c>
      <c r="O248" s="151">
        <f t="shared" ca="1" si="17"/>
        <v>-4.1666666666666664E-2</v>
      </c>
      <c r="P248" s="8"/>
      <c r="Q248" s="129"/>
      <c r="R248" s="144" t="s">
        <v>670</v>
      </c>
    </row>
    <row r="249" spans="1:18" ht="24.95" customHeight="1">
      <c r="A249" s="8" t="s">
        <v>513</v>
      </c>
      <c r="B249" s="8" t="s">
        <v>85</v>
      </c>
      <c r="C249" s="8" t="s">
        <v>73</v>
      </c>
      <c r="D249" s="111">
        <v>8809491946192</v>
      </c>
      <c r="E249" s="154" t="s">
        <v>10</v>
      </c>
      <c r="F249" s="134" t="str">
        <f t="shared" si="16"/>
        <v>GLAMRR Q</v>
      </c>
      <c r="G249" s="112">
        <v>9</v>
      </c>
      <c r="H249" s="112"/>
      <c r="I249" s="147">
        <f t="shared" si="18"/>
        <v>9</v>
      </c>
      <c r="J249" s="113" t="s">
        <v>39</v>
      </c>
      <c r="K249" s="119">
        <v>46313</v>
      </c>
      <c r="L249" s="123">
        <f t="shared" ca="1" si="20"/>
        <v>46106</v>
      </c>
      <c r="M249" s="145">
        <v>36</v>
      </c>
      <c r="N249" s="150">
        <f t="shared" ca="1" si="19"/>
        <v>6.9</v>
      </c>
      <c r="O249" s="151">
        <f t="shared" ca="1" si="17"/>
        <v>0.19166666666666668</v>
      </c>
      <c r="P249" s="8"/>
      <c r="Q249" s="129"/>
      <c r="R249" s="144" t="s">
        <v>670</v>
      </c>
    </row>
    <row r="250" spans="1:18" ht="24.95" customHeight="1">
      <c r="A250" s="8" t="s">
        <v>513</v>
      </c>
      <c r="B250" s="8" t="s">
        <v>85</v>
      </c>
      <c r="C250" s="8" t="s">
        <v>73</v>
      </c>
      <c r="D250" s="111">
        <v>8809491946208</v>
      </c>
      <c r="E250" s="154" t="s">
        <v>11</v>
      </c>
      <c r="F250" s="134" t="str">
        <f t="shared" si="16"/>
        <v>GLAMRR Q</v>
      </c>
      <c r="G250" s="112">
        <v>6</v>
      </c>
      <c r="H250" s="112"/>
      <c r="I250" s="147">
        <f t="shared" si="18"/>
        <v>6</v>
      </c>
      <c r="J250" s="113" t="s">
        <v>39</v>
      </c>
      <c r="K250" s="119">
        <v>46201</v>
      </c>
      <c r="L250" s="123">
        <f t="shared" ca="1" si="20"/>
        <v>46106</v>
      </c>
      <c r="M250" s="145">
        <v>36</v>
      </c>
      <c r="N250" s="150">
        <f t="shared" ca="1" si="19"/>
        <v>3.1666666666666665</v>
      </c>
      <c r="O250" s="151">
        <f t="shared" ca="1" si="17"/>
        <v>8.7962962962962965E-2</v>
      </c>
      <c r="P250" s="8"/>
      <c r="Q250" s="129"/>
      <c r="R250" s="144" t="s">
        <v>670</v>
      </c>
    </row>
    <row r="251" spans="1:18" ht="24.95" customHeight="1">
      <c r="A251" s="8" t="s">
        <v>513</v>
      </c>
      <c r="B251" s="8" t="s">
        <v>85</v>
      </c>
      <c r="C251" s="8" t="s">
        <v>73</v>
      </c>
      <c r="D251" s="111">
        <v>8809491946208</v>
      </c>
      <c r="E251" s="154" t="s">
        <v>11</v>
      </c>
      <c r="F251" s="134" t="str">
        <f t="shared" si="16"/>
        <v>GLAMRR Q</v>
      </c>
      <c r="G251" s="112">
        <v>2</v>
      </c>
      <c r="H251" s="112"/>
      <c r="I251" s="147">
        <f t="shared" si="18"/>
        <v>2</v>
      </c>
      <c r="J251" s="113" t="s">
        <v>39</v>
      </c>
      <c r="K251" s="119">
        <v>46349</v>
      </c>
      <c r="L251" s="123">
        <f t="shared" ca="1" si="20"/>
        <v>46106</v>
      </c>
      <c r="M251" s="145">
        <v>36</v>
      </c>
      <c r="N251" s="150">
        <f t="shared" ca="1" si="19"/>
        <v>8.1</v>
      </c>
      <c r="O251" s="151">
        <f t="shared" ca="1" si="17"/>
        <v>0.22499999999999998</v>
      </c>
      <c r="P251" s="8"/>
      <c r="Q251" s="129"/>
      <c r="R251" s="144" t="s">
        <v>670</v>
      </c>
    </row>
    <row r="252" spans="1:18" ht="24.95" customHeight="1">
      <c r="A252" s="8" t="s">
        <v>513</v>
      </c>
      <c r="B252" s="8" t="s">
        <v>85</v>
      </c>
      <c r="C252" s="8" t="s">
        <v>73</v>
      </c>
      <c r="D252" s="111">
        <v>8809491946215</v>
      </c>
      <c r="E252" s="154" t="s">
        <v>12</v>
      </c>
      <c r="F252" s="134" t="str">
        <f t="shared" si="16"/>
        <v>GLAMRR Q</v>
      </c>
      <c r="G252" s="112">
        <v>41</v>
      </c>
      <c r="H252" s="112"/>
      <c r="I252" s="147">
        <f t="shared" si="18"/>
        <v>41</v>
      </c>
      <c r="J252" s="113" t="s">
        <v>39</v>
      </c>
      <c r="K252" s="119">
        <v>46325</v>
      </c>
      <c r="L252" s="123">
        <f t="shared" ca="1" si="20"/>
        <v>46106</v>
      </c>
      <c r="M252" s="145">
        <v>36</v>
      </c>
      <c r="N252" s="150">
        <f t="shared" ca="1" si="19"/>
        <v>7.3</v>
      </c>
      <c r="O252" s="151">
        <f t="shared" ca="1" si="17"/>
        <v>0.20277777777777778</v>
      </c>
      <c r="P252" s="8"/>
      <c r="Q252" s="129"/>
      <c r="R252" s="144" t="s">
        <v>670</v>
      </c>
    </row>
    <row r="253" spans="1:18" ht="24.95" customHeight="1">
      <c r="A253" s="8" t="s">
        <v>513</v>
      </c>
      <c r="B253" s="8" t="s">
        <v>85</v>
      </c>
      <c r="C253" s="8" t="s">
        <v>73</v>
      </c>
      <c r="D253" s="111">
        <v>8809491946215</v>
      </c>
      <c r="E253" s="154" t="s">
        <v>12</v>
      </c>
      <c r="F253" s="134" t="str">
        <f t="shared" si="16"/>
        <v>GLAMRR Q</v>
      </c>
      <c r="G253" s="112">
        <v>1</v>
      </c>
      <c r="H253" s="112"/>
      <c r="I253" s="147">
        <f t="shared" si="18"/>
        <v>1</v>
      </c>
      <c r="J253" s="113" t="s">
        <v>39</v>
      </c>
      <c r="K253" s="119">
        <v>46062</v>
      </c>
      <c r="L253" s="123">
        <f t="shared" ca="1" si="20"/>
        <v>46106</v>
      </c>
      <c r="M253" s="145">
        <v>36</v>
      </c>
      <c r="N253" s="150">
        <f t="shared" ca="1" si="19"/>
        <v>-1.4666666666666666</v>
      </c>
      <c r="O253" s="151">
        <f t="shared" ca="1" si="17"/>
        <v>-4.0740740740740737E-2</v>
      </c>
      <c r="P253" s="8"/>
      <c r="Q253" s="129"/>
      <c r="R253" s="144" t="s">
        <v>670</v>
      </c>
    </row>
    <row r="254" spans="1:18" ht="24.95" customHeight="1">
      <c r="A254" s="8" t="s">
        <v>513</v>
      </c>
      <c r="B254" s="8" t="s">
        <v>85</v>
      </c>
      <c r="C254" s="8" t="s">
        <v>73</v>
      </c>
      <c r="D254" s="111">
        <v>8809491946222</v>
      </c>
      <c r="E254" s="154" t="s">
        <v>13</v>
      </c>
      <c r="F254" s="134" t="str">
        <f t="shared" si="16"/>
        <v>GLAMRR Q</v>
      </c>
      <c r="G254" s="112">
        <v>4</v>
      </c>
      <c r="H254" s="112"/>
      <c r="I254" s="147">
        <f t="shared" si="18"/>
        <v>4</v>
      </c>
      <c r="J254" s="113" t="s">
        <v>39</v>
      </c>
      <c r="K254" s="119">
        <v>46062</v>
      </c>
      <c r="L254" s="123">
        <f t="shared" ca="1" si="20"/>
        <v>46106</v>
      </c>
      <c r="M254" s="145">
        <v>36</v>
      </c>
      <c r="N254" s="150">
        <f t="shared" ca="1" si="19"/>
        <v>-1.4666666666666666</v>
      </c>
      <c r="O254" s="151">
        <f t="shared" ca="1" si="17"/>
        <v>-4.0740740740740737E-2</v>
      </c>
      <c r="P254" s="8"/>
      <c r="Q254" s="129"/>
      <c r="R254" s="144" t="s">
        <v>670</v>
      </c>
    </row>
    <row r="255" spans="1:18" ht="24.95" customHeight="1">
      <c r="A255" s="8" t="s">
        <v>513</v>
      </c>
      <c r="B255" s="8" t="s">
        <v>85</v>
      </c>
      <c r="C255" s="8" t="s">
        <v>73</v>
      </c>
      <c r="D255" s="111">
        <v>8809491946222</v>
      </c>
      <c r="E255" s="154" t="s">
        <v>13</v>
      </c>
      <c r="F255" s="134" t="str">
        <f t="shared" si="16"/>
        <v>GLAMRR Q</v>
      </c>
      <c r="G255" s="112">
        <v>7</v>
      </c>
      <c r="H255" s="112"/>
      <c r="I255" s="147">
        <f t="shared" si="18"/>
        <v>7</v>
      </c>
      <c r="J255" s="113" t="s">
        <v>39</v>
      </c>
      <c r="K255" s="119">
        <v>46275</v>
      </c>
      <c r="L255" s="123">
        <f t="shared" ca="1" si="20"/>
        <v>46106</v>
      </c>
      <c r="M255" s="145">
        <v>36</v>
      </c>
      <c r="N255" s="150">
        <f t="shared" ca="1" si="19"/>
        <v>5.6333333333333337</v>
      </c>
      <c r="O255" s="151">
        <f t="shared" ca="1" si="17"/>
        <v>0.1564814814814815</v>
      </c>
      <c r="P255" s="8"/>
      <c r="Q255" s="129"/>
      <c r="R255" s="144" t="s">
        <v>670</v>
      </c>
    </row>
    <row r="256" spans="1:18" ht="24.95" customHeight="1">
      <c r="A256" s="8" t="s">
        <v>513</v>
      </c>
      <c r="B256" s="8" t="s">
        <v>85</v>
      </c>
      <c r="C256" s="8" t="s">
        <v>73</v>
      </c>
      <c r="D256" s="111">
        <v>8809491946246</v>
      </c>
      <c r="E256" s="154" t="s">
        <v>15</v>
      </c>
      <c r="F256" s="134" t="str">
        <f t="shared" si="16"/>
        <v>GLAMRR Q</v>
      </c>
      <c r="G256" s="112">
        <v>2</v>
      </c>
      <c r="H256" s="112"/>
      <c r="I256" s="147">
        <f t="shared" si="18"/>
        <v>2</v>
      </c>
      <c r="J256" s="113" t="s">
        <v>39</v>
      </c>
      <c r="K256" s="119">
        <v>46062</v>
      </c>
      <c r="L256" s="123">
        <f t="shared" ca="1" si="20"/>
        <v>46106</v>
      </c>
      <c r="M256" s="145">
        <v>36</v>
      </c>
      <c r="N256" s="150">
        <f t="shared" ca="1" si="19"/>
        <v>-1.4666666666666666</v>
      </c>
      <c r="O256" s="151">
        <f t="shared" ca="1" si="17"/>
        <v>-4.0740740740740737E-2</v>
      </c>
      <c r="P256" s="8"/>
      <c r="Q256" s="129"/>
      <c r="R256" s="144" t="s">
        <v>670</v>
      </c>
    </row>
    <row r="257" spans="1:18" ht="24.95" customHeight="1">
      <c r="A257" s="8" t="s">
        <v>513</v>
      </c>
      <c r="B257" s="8" t="s">
        <v>85</v>
      </c>
      <c r="C257" s="8" t="s">
        <v>73</v>
      </c>
      <c r="D257" s="111">
        <v>8809491946246</v>
      </c>
      <c r="E257" s="154" t="s">
        <v>15</v>
      </c>
      <c r="F257" s="134" t="str">
        <f t="shared" ref="F257:F320" si="21">IF(ISNUMBER(SEARCH("gilaa",E257)),"GILAA",
IF(ISNUMBER(SEARCH("GLAMRR Q",E257)),"GLAMRR Q",
IF(ISNUMBER(SEARCH("BAD PEACH",E257)),"BAD PEACH",
IF(ISNUMBER(SEARCH("VEGICK",E257)),"VEGICK",
IF(ISNUMBER(SEARCH("DE MEMORIA",E257)),"DE MEMORIA",
IF(ISNUMBER(SEARCH("MUDE",E257)),"MUDE",
IF(ISNUMBER(SEARCH("daoida",E257)),"DAOIDA",IF(ISNUMBER(SEARCH("MEDIFORCELL",E257)),"MEDIFORCELL",IF(ISNUMBER(SEARCH("PLU",E257)),"PLU","")))))))))</f>
        <v>GLAMRR Q</v>
      </c>
      <c r="G257" s="112">
        <v>2</v>
      </c>
      <c r="H257" s="112"/>
      <c r="I257" s="147">
        <f t="shared" si="18"/>
        <v>2</v>
      </c>
      <c r="J257" s="113" t="s">
        <v>39</v>
      </c>
      <c r="K257" s="119">
        <v>46368</v>
      </c>
      <c r="L257" s="123">
        <f t="shared" ca="1" si="20"/>
        <v>46106</v>
      </c>
      <c r="M257" s="145">
        <v>36</v>
      </c>
      <c r="N257" s="150">
        <f t="shared" ca="1" si="19"/>
        <v>8.7333333333333325</v>
      </c>
      <c r="O257" s="151">
        <f t="shared" ca="1" si="17"/>
        <v>0.24259259259259258</v>
      </c>
      <c r="P257" s="8"/>
      <c r="Q257" s="129"/>
      <c r="R257" s="144" t="s">
        <v>670</v>
      </c>
    </row>
    <row r="258" spans="1:18" ht="24.95" customHeight="1">
      <c r="A258" s="8" t="s">
        <v>513</v>
      </c>
      <c r="B258" s="8" t="s">
        <v>85</v>
      </c>
      <c r="C258" s="8" t="s">
        <v>73</v>
      </c>
      <c r="D258" s="111">
        <v>8809491946253</v>
      </c>
      <c r="E258" s="154" t="s">
        <v>16</v>
      </c>
      <c r="F258" s="134" t="str">
        <f t="shared" si="21"/>
        <v>GLAMRR Q</v>
      </c>
      <c r="G258" s="112">
        <v>8</v>
      </c>
      <c r="H258" s="112"/>
      <c r="I258" s="147">
        <f t="shared" si="18"/>
        <v>8</v>
      </c>
      <c r="J258" s="113" t="s">
        <v>39</v>
      </c>
      <c r="K258" s="119">
        <v>46352</v>
      </c>
      <c r="L258" s="123">
        <f t="shared" ca="1" si="20"/>
        <v>46106</v>
      </c>
      <c r="M258" s="145">
        <v>36</v>
      </c>
      <c r="N258" s="150">
        <f t="shared" ca="1" si="19"/>
        <v>8.1999999999999993</v>
      </c>
      <c r="O258" s="151">
        <f t="shared" ref="O258:O321" ca="1" si="22">N258/M258</f>
        <v>0.22777777777777775</v>
      </c>
      <c r="P258" s="8"/>
      <c r="Q258" s="129"/>
      <c r="R258" s="144" t="s">
        <v>670</v>
      </c>
    </row>
    <row r="259" spans="1:18" ht="24.95" customHeight="1">
      <c r="A259" s="8" t="s">
        <v>513</v>
      </c>
      <c r="B259" s="8" t="s">
        <v>85</v>
      </c>
      <c r="C259" s="8" t="s">
        <v>73</v>
      </c>
      <c r="D259" s="111">
        <v>8809491946253</v>
      </c>
      <c r="E259" s="154" t="s">
        <v>16</v>
      </c>
      <c r="F259" s="134" t="str">
        <f t="shared" si="21"/>
        <v>GLAMRR Q</v>
      </c>
      <c r="G259" s="112">
        <v>1</v>
      </c>
      <c r="H259" s="112"/>
      <c r="I259" s="147">
        <f t="shared" ref="I259:I322" si="23">G259-H259</f>
        <v>1</v>
      </c>
      <c r="J259" s="113" t="s">
        <v>39</v>
      </c>
      <c r="K259" s="119">
        <v>46062</v>
      </c>
      <c r="L259" s="123">
        <f t="shared" ca="1" si="20"/>
        <v>46106</v>
      </c>
      <c r="M259" s="145">
        <v>36</v>
      </c>
      <c r="N259" s="150">
        <f t="shared" ref="N259:N266" ca="1" si="24">(K259-L259)/30</f>
        <v>-1.4666666666666666</v>
      </c>
      <c r="O259" s="151">
        <f t="shared" ca="1" si="22"/>
        <v>-4.0740740740740737E-2</v>
      </c>
      <c r="P259" s="8"/>
      <c r="Q259" s="129"/>
      <c r="R259" s="144" t="s">
        <v>670</v>
      </c>
    </row>
    <row r="260" spans="1:18" ht="24.95" customHeight="1">
      <c r="A260" s="8" t="s">
        <v>513</v>
      </c>
      <c r="B260" s="8" t="s">
        <v>85</v>
      </c>
      <c r="C260" s="8" t="s">
        <v>73</v>
      </c>
      <c r="D260" s="111">
        <v>8809491946260</v>
      </c>
      <c r="E260" s="154" t="s">
        <v>17</v>
      </c>
      <c r="F260" s="134" t="str">
        <f t="shared" si="21"/>
        <v>GLAMRR Q</v>
      </c>
      <c r="G260" s="112">
        <v>14</v>
      </c>
      <c r="H260" s="112"/>
      <c r="I260" s="147">
        <f t="shared" si="23"/>
        <v>14</v>
      </c>
      <c r="J260" s="113" t="s">
        <v>39</v>
      </c>
      <c r="K260" s="119">
        <v>46325</v>
      </c>
      <c r="L260" s="123">
        <f t="shared" ca="1" si="20"/>
        <v>46106</v>
      </c>
      <c r="M260" s="145">
        <v>36</v>
      </c>
      <c r="N260" s="150">
        <f t="shared" ca="1" si="24"/>
        <v>7.3</v>
      </c>
      <c r="O260" s="151">
        <f t="shared" ca="1" si="22"/>
        <v>0.20277777777777778</v>
      </c>
      <c r="P260" s="8"/>
      <c r="Q260" s="129"/>
      <c r="R260" s="144" t="s">
        <v>670</v>
      </c>
    </row>
    <row r="261" spans="1:18" ht="24.95" customHeight="1">
      <c r="A261" s="8" t="s">
        <v>513</v>
      </c>
      <c r="B261" s="8" t="s">
        <v>85</v>
      </c>
      <c r="C261" s="8" t="s">
        <v>73</v>
      </c>
      <c r="D261" s="111">
        <v>8809563068333</v>
      </c>
      <c r="E261" s="154" t="s">
        <v>213</v>
      </c>
      <c r="F261" s="134" t="str">
        <f t="shared" si="21"/>
        <v>VEGICK</v>
      </c>
      <c r="G261" s="112">
        <v>4</v>
      </c>
      <c r="H261" s="112"/>
      <c r="I261" s="147">
        <f t="shared" si="23"/>
        <v>4</v>
      </c>
      <c r="J261" s="113" t="s">
        <v>30</v>
      </c>
      <c r="K261" s="119">
        <v>46278</v>
      </c>
      <c r="L261" s="123">
        <f t="shared" ca="1" si="20"/>
        <v>46106</v>
      </c>
      <c r="M261" s="145">
        <v>36</v>
      </c>
      <c r="N261" s="150">
        <f t="shared" ca="1" si="24"/>
        <v>5.7333333333333334</v>
      </c>
      <c r="O261" s="151">
        <f t="shared" ca="1" si="22"/>
        <v>0.15925925925925927</v>
      </c>
      <c r="P261" s="8"/>
      <c r="Q261" s="129"/>
      <c r="R261" s="144" t="s">
        <v>670</v>
      </c>
    </row>
    <row r="262" spans="1:18" ht="24.95" customHeight="1">
      <c r="A262" s="8" t="s">
        <v>513</v>
      </c>
      <c r="B262" s="8" t="s">
        <v>85</v>
      </c>
      <c r="C262" s="8" t="s">
        <v>73</v>
      </c>
      <c r="D262" s="111">
        <v>8809563068333</v>
      </c>
      <c r="E262" s="154" t="s">
        <v>213</v>
      </c>
      <c r="F262" s="134" t="str">
        <f t="shared" si="21"/>
        <v>VEGICK</v>
      </c>
      <c r="G262" s="112">
        <v>1</v>
      </c>
      <c r="H262" s="112"/>
      <c r="I262" s="147">
        <f t="shared" si="23"/>
        <v>1</v>
      </c>
      <c r="J262" s="113" t="s">
        <v>514</v>
      </c>
      <c r="K262" s="119">
        <v>46004</v>
      </c>
      <c r="L262" s="123">
        <f t="shared" ca="1" si="20"/>
        <v>46106</v>
      </c>
      <c r="M262" s="145">
        <v>36</v>
      </c>
      <c r="N262" s="150">
        <f t="shared" ca="1" si="24"/>
        <v>-3.4</v>
      </c>
      <c r="O262" s="151">
        <f t="shared" ca="1" si="22"/>
        <v>-9.4444444444444442E-2</v>
      </c>
      <c r="P262" s="8"/>
      <c r="Q262" s="129"/>
      <c r="R262" s="144" t="s">
        <v>670</v>
      </c>
    </row>
    <row r="263" spans="1:18" ht="24.95" customHeight="1">
      <c r="A263" s="8" t="s">
        <v>513</v>
      </c>
      <c r="B263" s="8" t="s">
        <v>85</v>
      </c>
      <c r="C263" s="8" t="s">
        <v>73</v>
      </c>
      <c r="D263" s="111">
        <v>8809563068340</v>
      </c>
      <c r="E263" s="154" t="s">
        <v>212</v>
      </c>
      <c r="F263" s="134" t="str">
        <f t="shared" si="21"/>
        <v>VEGICK</v>
      </c>
      <c r="G263" s="112">
        <v>1</v>
      </c>
      <c r="H263" s="112"/>
      <c r="I263" s="147">
        <f t="shared" si="23"/>
        <v>1</v>
      </c>
      <c r="J263" s="113" t="s">
        <v>514</v>
      </c>
      <c r="K263" s="119">
        <v>46378</v>
      </c>
      <c r="L263" s="123">
        <f t="shared" ca="1" si="20"/>
        <v>46106</v>
      </c>
      <c r="M263" s="145">
        <v>36</v>
      </c>
      <c r="N263" s="150">
        <f t="shared" ca="1" si="24"/>
        <v>9.0666666666666664</v>
      </c>
      <c r="O263" s="151">
        <f t="shared" ca="1" si="22"/>
        <v>0.25185185185185183</v>
      </c>
      <c r="P263" s="8"/>
      <c r="Q263" s="129"/>
      <c r="R263" s="144" t="s">
        <v>670</v>
      </c>
    </row>
    <row r="264" spans="1:18" ht="24.95" customHeight="1">
      <c r="A264" s="8" t="s">
        <v>513</v>
      </c>
      <c r="B264" s="8" t="s">
        <v>85</v>
      </c>
      <c r="C264" s="8" t="s">
        <v>73</v>
      </c>
      <c r="D264" s="111">
        <v>8809800462030</v>
      </c>
      <c r="E264" s="154" t="s">
        <v>230</v>
      </c>
      <c r="F264" s="134" t="str">
        <f t="shared" si="21"/>
        <v>VEGICK</v>
      </c>
      <c r="G264" s="112">
        <v>1</v>
      </c>
      <c r="H264" s="112"/>
      <c r="I264" s="147">
        <f t="shared" si="23"/>
        <v>1</v>
      </c>
      <c r="J264" s="113" t="s">
        <v>30</v>
      </c>
      <c r="K264" s="119">
        <v>46468</v>
      </c>
      <c r="L264" s="123">
        <f t="shared" ca="1" si="20"/>
        <v>46106</v>
      </c>
      <c r="M264" s="145">
        <v>36</v>
      </c>
      <c r="N264" s="150">
        <f t="shared" ca="1" si="24"/>
        <v>12.066666666666666</v>
      </c>
      <c r="O264" s="151">
        <f t="shared" ca="1" si="22"/>
        <v>0.3351851851851852</v>
      </c>
      <c r="P264" s="8"/>
      <c r="Q264" s="129"/>
      <c r="R264" s="144" t="s">
        <v>670</v>
      </c>
    </row>
    <row r="265" spans="1:18" ht="24.95" customHeight="1">
      <c r="A265" s="8" t="s">
        <v>513</v>
      </c>
      <c r="B265" s="8" t="s">
        <v>85</v>
      </c>
      <c r="C265" s="8" t="s">
        <v>76</v>
      </c>
      <c r="D265" s="7">
        <v>8809491946154</v>
      </c>
      <c r="E265" s="3" t="s">
        <v>515</v>
      </c>
      <c r="F265" s="134" t="str">
        <f t="shared" si="21"/>
        <v>GLAMRR Q</v>
      </c>
      <c r="G265" s="2">
        <v>1</v>
      </c>
      <c r="H265" s="2"/>
      <c r="I265" s="147">
        <f t="shared" si="23"/>
        <v>1</v>
      </c>
      <c r="J265" s="4" t="s">
        <v>72</v>
      </c>
      <c r="K265" s="5">
        <v>46349</v>
      </c>
      <c r="L265" s="123">
        <f t="shared" ca="1" si="20"/>
        <v>46106</v>
      </c>
      <c r="M265" s="145">
        <v>36</v>
      </c>
      <c r="N265" s="150">
        <f t="shared" ca="1" si="24"/>
        <v>8.1</v>
      </c>
      <c r="O265" s="151">
        <f t="shared" ca="1" si="22"/>
        <v>0.22499999999999998</v>
      </c>
      <c r="P265" s="8"/>
      <c r="Q265" s="129"/>
      <c r="R265" s="144" t="s">
        <v>670</v>
      </c>
    </row>
    <row r="266" spans="1:18" ht="24.95" customHeight="1">
      <c r="A266" s="8" t="s">
        <v>513</v>
      </c>
      <c r="B266" s="8" t="s">
        <v>85</v>
      </c>
      <c r="C266" s="8" t="s">
        <v>76</v>
      </c>
      <c r="D266" s="7">
        <v>8809491946154</v>
      </c>
      <c r="E266" s="3" t="s">
        <v>515</v>
      </c>
      <c r="F266" s="134" t="str">
        <f t="shared" si="21"/>
        <v>GLAMRR Q</v>
      </c>
      <c r="G266" s="2">
        <v>3</v>
      </c>
      <c r="H266" s="2"/>
      <c r="I266" s="147">
        <f t="shared" si="23"/>
        <v>3</v>
      </c>
      <c r="J266" s="4" t="s">
        <v>72</v>
      </c>
      <c r="K266" s="5">
        <v>46222</v>
      </c>
      <c r="L266" s="123">
        <f t="shared" ref="L266:L275" ca="1" si="25">TODAY()</f>
        <v>46106</v>
      </c>
      <c r="M266" s="145">
        <v>36</v>
      </c>
      <c r="N266" s="150">
        <f t="shared" ca="1" si="24"/>
        <v>3.8666666666666667</v>
      </c>
      <c r="O266" s="151">
        <f t="shared" ca="1" si="22"/>
        <v>0.10740740740740741</v>
      </c>
      <c r="P266" s="8"/>
      <c r="Q266" s="129"/>
      <c r="R266" s="144" t="s">
        <v>670</v>
      </c>
    </row>
    <row r="267" spans="1:18" ht="24.95" customHeight="1">
      <c r="A267" s="8" t="s">
        <v>513</v>
      </c>
      <c r="B267" s="8" t="s">
        <v>85</v>
      </c>
      <c r="C267" s="8" t="s">
        <v>76</v>
      </c>
      <c r="D267" s="7">
        <v>8809491946192</v>
      </c>
      <c r="E267" s="3" t="s">
        <v>516</v>
      </c>
      <c r="F267" s="134" t="str">
        <f t="shared" si="21"/>
        <v>GLAMRR Q</v>
      </c>
      <c r="G267" s="2">
        <v>2</v>
      </c>
      <c r="H267" s="2"/>
      <c r="I267" s="147">
        <f t="shared" si="23"/>
        <v>2</v>
      </c>
      <c r="J267" s="4" t="s">
        <v>72</v>
      </c>
      <c r="K267" s="5">
        <v>46061</v>
      </c>
      <c r="L267" s="123">
        <f t="shared" ca="1" si="25"/>
        <v>46106</v>
      </c>
      <c r="M267" s="145">
        <v>36</v>
      </c>
      <c r="N267" s="150">
        <f t="shared" ref="N267:N275" ca="1" si="26">(K267-L267)/30</f>
        <v>-1.5</v>
      </c>
      <c r="O267" s="151">
        <f t="shared" ca="1" si="22"/>
        <v>-4.1666666666666664E-2</v>
      </c>
      <c r="P267" s="8"/>
      <c r="Q267" s="129"/>
      <c r="R267" s="144" t="s">
        <v>670</v>
      </c>
    </row>
    <row r="268" spans="1:18" ht="24.95" customHeight="1">
      <c r="A268" s="8" t="s">
        <v>513</v>
      </c>
      <c r="B268" s="8" t="s">
        <v>85</v>
      </c>
      <c r="C268" s="8" t="s">
        <v>76</v>
      </c>
      <c r="D268" s="7">
        <v>8809491946192</v>
      </c>
      <c r="E268" s="3" t="s">
        <v>516</v>
      </c>
      <c r="F268" s="134" t="str">
        <f t="shared" si="21"/>
        <v>GLAMRR Q</v>
      </c>
      <c r="G268" s="2">
        <v>6</v>
      </c>
      <c r="H268" s="2"/>
      <c r="I268" s="147">
        <f t="shared" si="23"/>
        <v>6</v>
      </c>
      <c r="J268" s="4" t="s">
        <v>72</v>
      </c>
      <c r="K268" s="5">
        <v>46313</v>
      </c>
      <c r="L268" s="123">
        <f t="shared" ca="1" si="25"/>
        <v>46106</v>
      </c>
      <c r="M268" s="145">
        <v>36</v>
      </c>
      <c r="N268" s="150">
        <f t="shared" ca="1" si="26"/>
        <v>6.9</v>
      </c>
      <c r="O268" s="151">
        <f t="shared" ca="1" si="22"/>
        <v>0.19166666666666668</v>
      </c>
      <c r="P268" s="8"/>
      <c r="Q268" s="129"/>
      <c r="R268" s="144" t="s">
        <v>670</v>
      </c>
    </row>
    <row r="269" spans="1:18" ht="24.95" customHeight="1">
      <c r="A269" s="8" t="s">
        <v>513</v>
      </c>
      <c r="B269" s="8" t="s">
        <v>85</v>
      </c>
      <c r="C269" s="8" t="s">
        <v>76</v>
      </c>
      <c r="D269" s="7">
        <v>8809491946215</v>
      </c>
      <c r="E269" s="3" t="s">
        <v>517</v>
      </c>
      <c r="F269" s="134" t="str">
        <f t="shared" si="21"/>
        <v>GLAMRR Q</v>
      </c>
      <c r="G269" s="2">
        <v>4</v>
      </c>
      <c r="H269" s="2"/>
      <c r="I269" s="147">
        <f t="shared" si="23"/>
        <v>4</v>
      </c>
      <c r="J269" s="4" t="s">
        <v>72</v>
      </c>
      <c r="K269" s="5">
        <v>46325</v>
      </c>
      <c r="L269" s="123">
        <f t="shared" ca="1" si="25"/>
        <v>46106</v>
      </c>
      <c r="M269" s="145">
        <v>36</v>
      </c>
      <c r="N269" s="150">
        <f t="shared" ca="1" si="26"/>
        <v>7.3</v>
      </c>
      <c r="O269" s="151">
        <f t="shared" ca="1" si="22"/>
        <v>0.20277777777777778</v>
      </c>
      <c r="P269" s="8"/>
      <c r="Q269" s="129"/>
      <c r="R269" s="144" t="s">
        <v>670</v>
      </c>
    </row>
    <row r="270" spans="1:18" ht="24.95" customHeight="1">
      <c r="A270" s="8" t="s">
        <v>524</v>
      </c>
      <c r="B270" s="8" t="s">
        <v>660</v>
      </c>
      <c r="C270" s="8" t="s">
        <v>76</v>
      </c>
      <c r="D270" s="114">
        <v>8809820740651</v>
      </c>
      <c r="E270" s="130" t="str">
        <f>VLOOKUP(D270,Dang_le!$C:$D,2,0)</f>
        <v>Chuốt mi MUDE (INSPIRE SKINNY CURLING MASCARA 01 BLACK, 3ml)</v>
      </c>
      <c r="F270" s="134" t="str">
        <f t="shared" si="21"/>
        <v>MUDE</v>
      </c>
      <c r="G270" s="2">
        <v>1</v>
      </c>
      <c r="H270" s="2"/>
      <c r="I270" s="147">
        <f t="shared" si="23"/>
        <v>1</v>
      </c>
      <c r="J270" s="8" t="s">
        <v>518</v>
      </c>
      <c r="K270" s="120">
        <v>47045</v>
      </c>
      <c r="L270" s="123">
        <f t="shared" ca="1" si="25"/>
        <v>46106</v>
      </c>
      <c r="M270" s="145">
        <v>36</v>
      </c>
      <c r="N270" s="150">
        <f t="shared" ca="1" si="26"/>
        <v>31.3</v>
      </c>
      <c r="O270" s="151">
        <f t="shared" ca="1" si="22"/>
        <v>0.86944444444444446</v>
      </c>
      <c r="P270" s="8" t="s">
        <v>519</v>
      </c>
      <c r="Q270" s="129" t="s">
        <v>520</v>
      </c>
      <c r="R270" s="144" t="s">
        <v>670</v>
      </c>
    </row>
    <row r="271" spans="1:18" ht="24.95" customHeight="1">
      <c r="A271" s="8" t="s">
        <v>525</v>
      </c>
      <c r="B271" s="8" t="s">
        <v>660</v>
      </c>
      <c r="C271" s="8" t="s">
        <v>77</v>
      </c>
      <c r="D271" s="114">
        <v>8809820740651</v>
      </c>
      <c r="E271" s="130" t="str">
        <f>VLOOKUP(D271,Dang_le!$C:$D,2,0)</f>
        <v>Chuốt mi MUDE (INSPIRE SKINNY CURLING MASCARA 01 BLACK, 3ml)</v>
      </c>
      <c r="F271" s="134" t="str">
        <f t="shared" si="21"/>
        <v>MUDE</v>
      </c>
      <c r="G271" s="2">
        <v>1</v>
      </c>
      <c r="H271" s="2"/>
      <c r="I271" s="147">
        <f t="shared" si="23"/>
        <v>1</v>
      </c>
      <c r="J271" s="8" t="s">
        <v>523</v>
      </c>
      <c r="K271" s="120">
        <v>47052</v>
      </c>
      <c r="L271" s="123">
        <f t="shared" ca="1" si="25"/>
        <v>46106</v>
      </c>
      <c r="M271" s="145">
        <v>36</v>
      </c>
      <c r="N271" s="150">
        <f t="shared" ca="1" si="26"/>
        <v>31.533333333333335</v>
      </c>
      <c r="O271" s="151">
        <f t="shared" ca="1" si="22"/>
        <v>0.875925925925926</v>
      </c>
      <c r="P271" s="8" t="s">
        <v>521</v>
      </c>
      <c r="Q271" s="129" t="s">
        <v>522</v>
      </c>
      <c r="R271" s="144" t="s">
        <v>670</v>
      </c>
    </row>
    <row r="272" spans="1:18" ht="24.95" customHeight="1">
      <c r="A272" s="8" t="s">
        <v>529</v>
      </c>
      <c r="B272" s="8" t="s">
        <v>660</v>
      </c>
      <c r="C272" s="8" t="s">
        <v>77</v>
      </c>
      <c r="D272" s="114">
        <v>8809820740651</v>
      </c>
      <c r="E272" s="130" t="str">
        <f>VLOOKUP(D272,Dang_le!$C:$D,2,0)</f>
        <v>Chuốt mi MUDE (INSPIRE SKINNY CURLING MASCARA 01 BLACK, 3ml)</v>
      </c>
      <c r="F272" s="134" t="str">
        <f t="shared" si="21"/>
        <v>MUDE</v>
      </c>
      <c r="G272" s="2">
        <v>2</v>
      </c>
      <c r="H272" s="2"/>
      <c r="I272" s="147">
        <f t="shared" si="23"/>
        <v>2</v>
      </c>
      <c r="J272" s="8" t="s">
        <v>528</v>
      </c>
      <c r="K272" s="120">
        <v>47052</v>
      </c>
      <c r="L272" s="123">
        <f t="shared" ca="1" si="25"/>
        <v>46106</v>
      </c>
      <c r="M272" s="145">
        <v>36</v>
      </c>
      <c r="N272" s="150">
        <f t="shared" ca="1" si="26"/>
        <v>31.533333333333335</v>
      </c>
      <c r="O272" s="151">
        <f t="shared" ca="1" si="22"/>
        <v>0.875925925925926</v>
      </c>
      <c r="P272" s="8" t="s">
        <v>527</v>
      </c>
      <c r="Q272" s="129" t="s">
        <v>526</v>
      </c>
      <c r="R272" s="144" t="s">
        <v>670</v>
      </c>
    </row>
    <row r="273" spans="1:18" ht="24.95" customHeight="1">
      <c r="A273" s="8" t="s">
        <v>534</v>
      </c>
      <c r="B273" s="8" t="s">
        <v>665</v>
      </c>
      <c r="C273" s="8" t="s">
        <v>76</v>
      </c>
      <c r="D273" s="114">
        <v>8800296553493</v>
      </c>
      <c r="E273" s="130" t="str">
        <f>VLOOKUP(D273,Dang_le!$C:$D,2,0)</f>
        <v>Kem nền GLAMRR Q (DAILY SKINTINT SERUM VEGAN FOUNDATION 01, 30ml)</v>
      </c>
      <c r="F273" s="134" t="str">
        <f t="shared" si="21"/>
        <v>GLAMRR Q</v>
      </c>
      <c r="G273" s="2">
        <v>2</v>
      </c>
      <c r="H273" s="8"/>
      <c r="I273" s="147">
        <f t="shared" si="23"/>
        <v>2</v>
      </c>
      <c r="J273" s="8" t="s">
        <v>535</v>
      </c>
      <c r="K273" s="120">
        <v>46934</v>
      </c>
      <c r="L273" s="123">
        <f t="shared" ca="1" si="25"/>
        <v>46106</v>
      </c>
      <c r="M273" s="145">
        <v>36</v>
      </c>
      <c r="N273" s="150">
        <f t="shared" ca="1" si="26"/>
        <v>27.6</v>
      </c>
      <c r="O273" s="151">
        <f t="shared" ca="1" si="22"/>
        <v>0.76666666666666672</v>
      </c>
      <c r="P273" s="8" t="s">
        <v>533</v>
      </c>
      <c r="Q273" s="129" t="s">
        <v>532</v>
      </c>
      <c r="R273" s="144" t="s">
        <v>670</v>
      </c>
    </row>
    <row r="274" spans="1:18" ht="24.95" customHeight="1">
      <c r="A274" s="8" t="s">
        <v>534</v>
      </c>
      <c r="B274" s="8" t="s">
        <v>665</v>
      </c>
      <c r="C274" s="8" t="s">
        <v>76</v>
      </c>
      <c r="D274" s="114">
        <v>8809875904862</v>
      </c>
      <c r="E274" s="130" t="str">
        <f>VLOOKUP(D274,Dang_le!$C:$D,2,0)</f>
        <v>Phấn nước trang điểm GLAMRR Q (VEGAN SUPER COVER CUSHION #01 LIGHT BEIGE, 15g)</v>
      </c>
      <c r="F274" s="134" t="str">
        <f t="shared" si="21"/>
        <v>GLAMRR Q</v>
      </c>
      <c r="G274" s="2">
        <v>3</v>
      </c>
      <c r="H274" s="8"/>
      <c r="I274" s="147">
        <f t="shared" si="23"/>
        <v>3</v>
      </c>
      <c r="J274" s="8" t="s">
        <v>535</v>
      </c>
      <c r="K274" s="120">
        <v>46845</v>
      </c>
      <c r="L274" s="123">
        <f t="shared" ca="1" si="25"/>
        <v>46106</v>
      </c>
      <c r="M274" s="145">
        <v>36</v>
      </c>
      <c r="N274" s="150">
        <f t="shared" ca="1" si="26"/>
        <v>24.633333333333333</v>
      </c>
      <c r="O274" s="151">
        <f t="shared" ca="1" si="22"/>
        <v>0.68425925925925923</v>
      </c>
      <c r="P274" s="8" t="s">
        <v>533</v>
      </c>
      <c r="Q274" s="129" t="s">
        <v>532</v>
      </c>
      <c r="R274" s="144" t="s">
        <v>670</v>
      </c>
    </row>
    <row r="275" spans="1:18" ht="24.95" customHeight="1">
      <c r="A275" s="8" t="s">
        <v>534</v>
      </c>
      <c r="B275" s="8" t="s">
        <v>665</v>
      </c>
      <c r="C275" s="8" t="s">
        <v>76</v>
      </c>
      <c r="D275" s="114">
        <v>8809820741566</v>
      </c>
      <c r="E275" s="130" t="str">
        <f>VLOOKUP(D275,Dang_le!$C:$D,2,0)</f>
        <v>Bảng bắt sáng MUDE (FULL BLOOM GLOW PALETTE 01 BLOOMING, 5g)</v>
      </c>
      <c r="F275" s="134" t="str">
        <f t="shared" si="21"/>
        <v>MUDE</v>
      </c>
      <c r="G275" s="2">
        <v>1</v>
      </c>
      <c r="H275" s="8"/>
      <c r="I275" s="147">
        <f t="shared" si="23"/>
        <v>1</v>
      </c>
      <c r="J275" s="8" t="s">
        <v>535</v>
      </c>
      <c r="K275" s="120">
        <v>46587</v>
      </c>
      <c r="L275" s="123">
        <f t="shared" ca="1" si="25"/>
        <v>46106</v>
      </c>
      <c r="M275" s="145">
        <v>36</v>
      </c>
      <c r="N275" s="150">
        <f t="shared" ca="1" si="26"/>
        <v>16.033333333333335</v>
      </c>
      <c r="O275" s="151">
        <f t="shared" ca="1" si="22"/>
        <v>0.44537037037037042</v>
      </c>
      <c r="P275" s="8" t="s">
        <v>533</v>
      </c>
      <c r="Q275" s="129" t="s">
        <v>532</v>
      </c>
      <c r="R275" s="144" t="s">
        <v>670</v>
      </c>
    </row>
    <row r="276" spans="1:18" ht="24.95" customHeight="1">
      <c r="A276" s="8" t="s">
        <v>534</v>
      </c>
      <c r="B276" s="8" t="s">
        <v>665</v>
      </c>
      <c r="C276" s="8" t="s">
        <v>76</v>
      </c>
      <c r="D276" s="114">
        <v>8936233680318</v>
      </c>
      <c r="E276" s="130" t="str">
        <f>VLOOKUP(D276,Dang_le!$C:$D,2,0)</f>
        <v>Vỏ hộp phấn nước kèm bông mút GLAMRR Q (AIR CUSHION COMPACT INCLUDING PUFF)</v>
      </c>
      <c r="F276" s="134" t="str">
        <f t="shared" si="21"/>
        <v>GLAMRR Q</v>
      </c>
      <c r="G276" s="2">
        <v>2</v>
      </c>
      <c r="H276" s="8"/>
      <c r="I276" s="147">
        <f t="shared" si="23"/>
        <v>2</v>
      </c>
      <c r="J276" s="8" t="s">
        <v>535</v>
      </c>
      <c r="K276" s="5" t="s">
        <v>27</v>
      </c>
      <c r="L276" s="123" t="s">
        <v>27</v>
      </c>
      <c r="M276" s="123" t="s">
        <v>27</v>
      </c>
      <c r="N276" s="123" t="s">
        <v>27</v>
      </c>
      <c r="O276" s="123" t="s">
        <v>27</v>
      </c>
      <c r="P276" s="8" t="s">
        <v>533</v>
      </c>
      <c r="Q276" s="129" t="s">
        <v>532</v>
      </c>
      <c r="R276" s="144" t="s">
        <v>670</v>
      </c>
    </row>
    <row r="277" spans="1:18" ht="24.95" customHeight="1">
      <c r="A277" s="8" t="s">
        <v>534</v>
      </c>
      <c r="B277" s="8" t="s">
        <v>665</v>
      </c>
      <c r="C277" s="8" t="s">
        <v>76</v>
      </c>
      <c r="D277" s="114">
        <v>8809820741788</v>
      </c>
      <c r="E277" s="130" t="str">
        <f>VLOOKUP(D277,Dang_le!$C:$D,2,0)</f>
        <v>Phấn nước trang điểm MUDE (SOFT SILKY FIT CUSHION #21 LIGHT BEIGE, 15g)</v>
      </c>
      <c r="F277" s="134" t="str">
        <f t="shared" si="21"/>
        <v>MUDE</v>
      </c>
      <c r="G277" s="2">
        <v>3</v>
      </c>
      <c r="H277" s="8"/>
      <c r="I277" s="147">
        <f t="shared" si="23"/>
        <v>3</v>
      </c>
      <c r="J277" s="8" t="s">
        <v>535</v>
      </c>
      <c r="K277" s="120">
        <v>46951</v>
      </c>
      <c r="L277" s="123">
        <f t="shared" ref="L277:L281" ca="1" si="27">TODAY()</f>
        <v>46106</v>
      </c>
      <c r="M277" s="145">
        <v>36</v>
      </c>
      <c r="N277" s="150">
        <f ca="1">(K277-L277)/30</f>
        <v>28.166666666666668</v>
      </c>
      <c r="O277" s="151">
        <f t="shared" ca="1" si="22"/>
        <v>0.78240740740740744</v>
      </c>
      <c r="P277" s="8" t="s">
        <v>533</v>
      </c>
      <c r="Q277" s="129" t="s">
        <v>532</v>
      </c>
      <c r="R277" s="144" t="s">
        <v>670</v>
      </c>
    </row>
    <row r="278" spans="1:18" ht="24.95" customHeight="1">
      <c r="A278" s="8" t="s">
        <v>534</v>
      </c>
      <c r="B278" s="8" t="s">
        <v>665</v>
      </c>
      <c r="C278" s="8" t="s">
        <v>76</v>
      </c>
      <c r="D278" s="114">
        <v>8809820740088</v>
      </c>
      <c r="E278" s="130" t="str">
        <f>VLOOKUP(D278,Dang_le!$C:$D,2,0)</f>
        <v>Chuốt mi MUDE (INSPIRE VOLUME CURLING MASCARA 02 BROWN, 10ml)</v>
      </c>
      <c r="F278" s="134" t="str">
        <f t="shared" si="21"/>
        <v>MUDE</v>
      </c>
      <c r="G278" s="2">
        <v>1</v>
      </c>
      <c r="H278" s="8"/>
      <c r="I278" s="147">
        <f t="shared" si="23"/>
        <v>1</v>
      </c>
      <c r="J278" s="8" t="s">
        <v>535</v>
      </c>
      <c r="K278" s="120">
        <v>46481</v>
      </c>
      <c r="L278" s="123">
        <f t="shared" ca="1" si="27"/>
        <v>46106</v>
      </c>
      <c r="M278" s="145">
        <v>36</v>
      </c>
      <c r="N278" s="150">
        <f ca="1">(K278-L278)/30</f>
        <v>12.5</v>
      </c>
      <c r="O278" s="151">
        <f t="shared" ca="1" si="22"/>
        <v>0.34722222222222221</v>
      </c>
      <c r="P278" s="8" t="s">
        <v>533</v>
      </c>
      <c r="Q278" s="129" t="s">
        <v>532</v>
      </c>
      <c r="R278" s="144" t="s">
        <v>670</v>
      </c>
    </row>
    <row r="279" spans="1:18" ht="24.95" customHeight="1">
      <c r="A279" s="8" t="s">
        <v>534</v>
      </c>
      <c r="B279" s="8" t="s">
        <v>665</v>
      </c>
      <c r="C279" s="8" t="s">
        <v>76</v>
      </c>
      <c r="D279" s="114">
        <v>8809820741641</v>
      </c>
      <c r="E279" s="130" t="str">
        <f>VLOOKUP(D279,Dang_le!$C:$D,2,0)</f>
        <v>Chuốt mi MUDE (INSPIRE LONGLASH CURLING MASCARA 01 BLACK, 8ml)</v>
      </c>
      <c r="F279" s="134" t="str">
        <f t="shared" si="21"/>
        <v>MUDE</v>
      </c>
      <c r="G279" s="2">
        <v>1</v>
      </c>
      <c r="H279" s="8"/>
      <c r="I279" s="147">
        <f t="shared" si="23"/>
        <v>1</v>
      </c>
      <c r="J279" s="8" t="s">
        <v>535</v>
      </c>
      <c r="K279" s="120">
        <v>46963</v>
      </c>
      <c r="L279" s="123">
        <f t="shared" ca="1" si="27"/>
        <v>46106</v>
      </c>
      <c r="M279" s="145">
        <v>36</v>
      </c>
      <c r="N279" s="150">
        <f ca="1">(K279-L279)/30</f>
        <v>28.566666666666666</v>
      </c>
      <c r="O279" s="151">
        <f t="shared" ca="1" si="22"/>
        <v>0.79351851851851851</v>
      </c>
      <c r="P279" s="8" t="s">
        <v>533</v>
      </c>
      <c r="Q279" s="129" t="s">
        <v>532</v>
      </c>
      <c r="R279" s="144" t="s">
        <v>670</v>
      </c>
    </row>
    <row r="280" spans="1:18" ht="24.95" customHeight="1">
      <c r="A280" s="8" t="s">
        <v>640</v>
      </c>
      <c r="B280" s="8" t="s">
        <v>665</v>
      </c>
      <c r="C280" s="122" t="s">
        <v>641</v>
      </c>
      <c r="D280" s="122" t="s">
        <v>537</v>
      </c>
      <c r="E280" s="133" t="s">
        <v>441</v>
      </c>
      <c r="F280" s="134" t="str">
        <f t="shared" si="21"/>
        <v>MUDE</v>
      </c>
      <c r="G280" s="134">
        <v>2</v>
      </c>
      <c r="H280" s="134"/>
      <c r="I280" s="147">
        <f t="shared" si="23"/>
        <v>2</v>
      </c>
      <c r="J280" s="122" t="s">
        <v>538</v>
      </c>
      <c r="K280" s="125">
        <v>46593</v>
      </c>
      <c r="L280" s="123">
        <f t="shared" ca="1" si="27"/>
        <v>46106</v>
      </c>
      <c r="M280" s="135">
        <v>36</v>
      </c>
      <c r="N280" s="150">
        <f ca="1">(K280-L280)/30</f>
        <v>16.233333333333334</v>
      </c>
      <c r="O280" s="151">
        <f t="shared" ca="1" si="22"/>
        <v>0.45092592592592595</v>
      </c>
      <c r="P280" s="8"/>
      <c r="Q280" s="129"/>
      <c r="R280" s="144" t="s">
        <v>670</v>
      </c>
    </row>
    <row r="281" spans="1:18" ht="24.95" customHeight="1">
      <c r="A281" s="8" t="s">
        <v>640</v>
      </c>
      <c r="B281" s="8" t="s">
        <v>665</v>
      </c>
      <c r="C281" s="122" t="s">
        <v>641</v>
      </c>
      <c r="D281" s="122" t="s">
        <v>537</v>
      </c>
      <c r="E281" s="133" t="s">
        <v>441</v>
      </c>
      <c r="F281" s="134" t="str">
        <f t="shared" si="21"/>
        <v>MUDE</v>
      </c>
      <c r="G281" s="134">
        <v>2</v>
      </c>
      <c r="H281" s="134"/>
      <c r="I281" s="147">
        <f t="shared" si="23"/>
        <v>2</v>
      </c>
      <c r="J281" s="122" t="s">
        <v>539</v>
      </c>
      <c r="K281" s="125">
        <v>46593</v>
      </c>
      <c r="L281" s="123">
        <f t="shared" ca="1" si="27"/>
        <v>46106</v>
      </c>
      <c r="M281" s="135">
        <v>36</v>
      </c>
      <c r="N281" s="150">
        <f ca="1">(K281-L281)/30</f>
        <v>16.233333333333334</v>
      </c>
      <c r="O281" s="151">
        <f t="shared" ca="1" si="22"/>
        <v>0.45092592592592595</v>
      </c>
      <c r="P281" s="8"/>
      <c r="Q281" s="129"/>
      <c r="R281" s="144" t="s">
        <v>670</v>
      </c>
    </row>
    <row r="282" spans="1:18" ht="24.95" customHeight="1">
      <c r="A282" s="8" t="s">
        <v>640</v>
      </c>
      <c r="B282" s="8" t="s">
        <v>665</v>
      </c>
      <c r="C282" s="122" t="s">
        <v>641</v>
      </c>
      <c r="D282" s="122" t="s">
        <v>540</v>
      </c>
      <c r="E282" s="133" t="s">
        <v>541</v>
      </c>
      <c r="F282" s="134" t="str">
        <f t="shared" si="21"/>
        <v>GILAA</v>
      </c>
      <c r="G282" s="134">
        <v>9</v>
      </c>
      <c r="H282" s="134"/>
      <c r="I282" s="147">
        <f t="shared" si="23"/>
        <v>9</v>
      </c>
      <c r="J282" s="122" t="s">
        <v>542</v>
      </c>
      <c r="K282" s="5" t="s">
        <v>27</v>
      </c>
      <c r="L282" s="123" t="s">
        <v>27</v>
      </c>
      <c r="M282" s="123" t="s">
        <v>27</v>
      </c>
      <c r="N282" s="123" t="s">
        <v>27</v>
      </c>
      <c r="O282" s="123" t="s">
        <v>27</v>
      </c>
      <c r="P282" s="8"/>
      <c r="Q282" s="129"/>
      <c r="R282" s="144" t="s">
        <v>670</v>
      </c>
    </row>
    <row r="283" spans="1:18" ht="24.95" customHeight="1">
      <c r="A283" s="8" t="s">
        <v>640</v>
      </c>
      <c r="B283" s="8" t="s">
        <v>665</v>
      </c>
      <c r="C283" s="122" t="s">
        <v>641</v>
      </c>
      <c r="D283" s="122" t="s">
        <v>543</v>
      </c>
      <c r="E283" s="133" t="s">
        <v>288</v>
      </c>
      <c r="F283" s="134" t="str">
        <f t="shared" si="21"/>
        <v>DE MEMORIA</v>
      </c>
      <c r="G283" s="134">
        <v>2</v>
      </c>
      <c r="H283" s="134"/>
      <c r="I283" s="147">
        <f t="shared" si="23"/>
        <v>2</v>
      </c>
      <c r="J283" s="122" t="s">
        <v>539</v>
      </c>
      <c r="K283" s="5" t="s">
        <v>27</v>
      </c>
      <c r="L283" s="123" t="s">
        <v>27</v>
      </c>
      <c r="M283" s="123" t="s">
        <v>27</v>
      </c>
      <c r="N283" s="123" t="s">
        <v>27</v>
      </c>
      <c r="O283" s="123" t="s">
        <v>27</v>
      </c>
      <c r="P283" s="8"/>
      <c r="Q283" s="129"/>
      <c r="R283" s="144" t="s">
        <v>670</v>
      </c>
    </row>
    <row r="284" spans="1:18" ht="24.95" customHeight="1">
      <c r="A284" s="8" t="s">
        <v>640</v>
      </c>
      <c r="B284" s="8" t="s">
        <v>665</v>
      </c>
      <c r="C284" s="122" t="s">
        <v>641</v>
      </c>
      <c r="D284" s="122" t="s">
        <v>544</v>
      </c>
      <c r="E284" s="133" t="s">
        <v>345</v>
      </c>
      <c r="F284" s="134" t="str">
        <f t="shared" si="21"/>
        <v>GLAMRR Q</v>
      </c>
      <c r="G284" s="134">
        <v>7</v>
      </c>
      <c r="H284" s="134"/>
      <c r="I284" s="147">
        <f t="shared" si="23"/>
        <v>7</v>
      </c>
      <c r="J284" s="122" t="s">
        <v>538</v>
      </c>
      <c r="K284" s="125">
        <v>46311</v>
      </c>
      <c r="L284" s="123">
        <f t="shared" ref="L284:L324" ca="1" si="28">TODAY()</f>
        <v>46106</v>
      </c>
      <c r="M284" s="135">
        <v>36</v>
      </c>
      <c r="N284" s="150">
        <f t="shared" ref="N284:N324" ca="1" si="29">(K284-L284)/30</f>
        <v>6.833333333333333</v>
      </c>
      <c r="O284" s="151">
        <f t="shared" ca="1" si="22"/>
        <v>0.1898148148148148</v>
      </c>
      <c r="P284" s="8"/>
      <c r="Q284" s="129"/>
      <c r="R284" s="144" t="s">
        <v>670</v>
      </c>
    </row>
    <row r="285" spans="1:18" ht="24.95" customHeight="1">
      <c r="A285" s="8" t="s">
        <v>640</v>
      </c>
      <c r="B285" s="8" t="s">
        <v>665</v>
      </c>
      <c r="C285" s="122" t="s">
        <v>641</v>
      </c>
      <c r="D285" s="122" t="s">
        <v>544</v>
      </c>
      <c r="E285" s="133" t="s">
        <v>345</v>
      </c>
      <c r="F285" s="134" t="str">
        <f t="shared" si="21"/>
        <v>GLAMRR Q</v>
      </c>
      <c r="G285" s="134">
        <v>3</v>
      </c>
      <c r="H285" s="134"/>
      <c r="I285" s="147">
        <f t="shared" si="23"/>
        <v>3</v>
      </c>
      <c r="J285" s="122" t="s">
        <v>538</v>
      </c>
      <c r="K285" s="125">
        <v>46575</v>
      </c>
      <c r="L285" s="123">
        <f t="shared" ca="1" si="28"/>
        <v>46106</v>
      </c>
      <c r="M285" s="135">
        <v>36</v>
      </c>
      <c r="N285" s="150">
        <f t="shared" ca="1" si="29"/>
        <v>15.633333333333333</v>
      </c>
      <c r="O285" s="151">
        <f t="shared" ca="1" si="22"/>
        <v>0.43425925925925923</v>
      </c>
      <c r="P285" s="8"/>
      <c r="Q285" s="129"/>
      <c r="R285" s="144" t="s">
        <v>670</v>
      </c>
    </row>
    <row r="286" spans="1:18" ht="24.95" customHeight="1">
      <c r="A286" s="8" t="s">
        <v>640</v>
      </c>
      <c r="B286" s="8" t="s">
        <v>665</v>
      </c>
      <c r="C286" s="122" t="s">
        <v>641</v>
      </c>
      <c r="D286" s="122" t="s">
        <v>545</v>
      </c>
      <c r="E286" s="133" t="s">
        <v>346</v>
      </c>
      <c r="F286" s="134" t="str">
        <f t="shared" si="21"/>
        <v>GLAMRR Q</v>
      </c>
      <c r="G286" s="134">
        <v>17</v>
      </c>
      <c r="H286" s="134"/>
      <c r="I286" s="147">
        <f t="shared" si="23"/>
        <v>17</v>
      </c>
      <c r="J286" s="122" t="s">
        <v>538</v>
      </c>
      <c r="K286" s="125">
        <v>46655</v>
      </c>
      <c r="L286" s="123">
        <f t="shared" ca="1" si="28"/>
        <v>46106</v>
      </c>
      <c r="M286" s="135">
        <v>36</v>
      </c>
      <c r="N286" s="150">
        <f t="shared" ca="1" si="29"/>
        <v>18.3</v>
      </c>
      <c r="O286" s="151">
        <f t="shared" ca="1" si="22"/>
        <v>0.5083333333333333</v>
      </c>
      <c r="P286" s="8"/>
      <c r="Q286" s="129"/>
      <c r="R286" s="144" t="s">
        <v>670</v>
      </c>
    </row>
    <row r="287" spans="1:18" ht="24.95" customHeight="1">
      <c r="A287" s="8" t="s">
        <v>640</v>
      </c>
      <c r="B287" s="8" t="s">
        <v>665</v>
      </c>
      <c r="C287" s="122" t="s">
        <v>641</v>
      </c>
      <c r="D287" s="122" t="s">
        <v>546</v>
      </c>
      <c r="E287" s="133" t="s">
        <v>463</v>
      </c>
      <c r="F287" s="134" t="str">
        <f t="shared" si="21"/>
        <v>MUDE</v>
      </c>
      <c r="G287" s="134">
        <v>1</v>
      </c>
      <c r="H287" s="134"/>
      <c r="I287" s="147">
        <f t="shared" si="23"/>
        <v>1</v>
      </c>
      <c r="J287" s="122" t="s">
        <v>538</v>
      </c>
      <c r="K287" s="125">
        <v>46982</v>
      </c>
      <c r="L287" s="123">
        <f t="shared" ca="1" si="28"/>
        <v>46106</v>
      </c>
      <c r="M287" s="135">
        <v>36</v>
      </c>
      <c r="N287" s="150">
        <f t="shared" ca="1" si="29"/>
        <v>29.2</v>
      </c>
      <c r="O287" s="151">
        <f t="shared" ca="1" si="22"/>
        <v>0.81111111111111112</v>
      </c>
      <c r="P287" s="8"/>
      <c r="Q287" s="129"/>
      <c r="R287" s="144" t="s">
        <v>670</v>
      </c>
    </row>
    <row r="288" spans="1:18" ht="24.95" customHeight="1">
      <c r="A288" s="8" t="s">
        <v>640</v>
      </c>
      <c r="B288" s="8" t="s">
        <v>665</v>
      </c>
      <c r="C288" s="122" t="s">
        <v>641</v>
      </c>
      <c r="D288" s="122" t="s">
        <v>546</v>
      </c>
      <c r="E288" s="133" t="s">
        <v>463</v>
      </c>
      <c r="F288" s="134" t="str">
        <f t="shared" si="21"/>
        <v>MUDE</v>
      </c>
      <c r="G288" s="134">
        <v>2</v>
      </c>
      <c r="H288" s="134"/>
      <c r="I288" s="147">
        <f t="shared" si="23"/>
        <v>2</v>
      </c>
      <c r="J288" s="122" t="s">
        <v>539</v>
      </c>
      <c r="K288" s="125">
        <v>46982</v>
      </c>
      <c r="L288" s="123">
        <f t="shared" ca="1" si="28"/>
        <v>46106</v>
      </c>
      <c r="M288" s="135">
        <v>36</v>
      </c>
      <c r="N288" s="150">
        <f t="shared" ca="1" si="29"/>
        <v>29.2</v>
      </c>
      <c r="O288" s="151">
        <f t="shared" ca="1" si="22"/>
        <v>0.81111111111111112</v>
      </c>
      <c r="P288" s="8"/>
      <c r="Q288" s="129"/>
      <c r="R288" s="144" t="s">
        <v>670</v>
      </c>
    </row>
    <row r="289" spans="1:18" ht="24.95" customHeight="1">
      <c r="A289" s="8" t="s">
        <v>640</v>
      </c>
      <c r="B289" s="8" t="s">
        <v>665</v>
      </c>
      <c r="C289" s="122" t="s">
        <v>641</v>
      </c>
      <c r="D289" s="122" t="s">
        <v>546</v>
      </c>
      <c r="E289" s="133" t="s">
        <v>463</v>
      </c>
      <c r="F289" s="134" t="str">
        <f t="shared" si="21"/>
        <v>MUDE</v>
      </c>
      <c r="G289" s="136">
        <v>2</v>
      </c>
      <c r="H289" s="134"/>
      <c r="I289" s="147">
        <f t="shared" si="23"/>
        <v>2</v>
      </c>
      <c r="J289" s="122" t="s">
        <v>539</v>
      </c>
      <c r="K289" s="125">
        <v>47046</v>
      </c>
      <c r="L289" s="123">
        <f t="shared" ca="1" si="28"/>
        <v>46106</v>
      </c>
      <c r="M289" s="135">
        <v>36</v>
      </c>
      <c r="N289" s="150">
        <f t="shared" ca="1" si="29"/>
        <v>31.333333333333332</v>
      </c>
      <c r="O289" s="151">
        <f t="shared" ca="1" si="22"/>
        <v>0.87037037037037035</v>
      </c>
      <c r="P289" s="8"/>
      <c r="Q289" s="129"/>
      <c r="R289" s="144" t="s">
        <v>670</v>
      </c>
    </row>
    <row r="290" spans="1:18" ht="24.95" customHeight="1">
      <c r="A290" s="8" t="s">
        <v>640</v>
      </c>
      <c r="B290" s="8" t="s">
        <v>665</v>
      </c>
      <c r="C290" s="122" t="s">
        <v>641</v>
      </c>
      <c r="D290" s="122" t="s">
        <v>546</v>
      </c>
      <c r="E290" s="133" t="s">
        <v>463</v>
      </c>
      <c r="F290" s="134" t="str">
        <f t="shared" si="21"/>
        <v>MUDE</v>
      </c>
      <c r="G290" s="136">
        <v>4</v>
      </c>
      <c r="H290" s="134"/>
      <c r="I290" s="147">
        <f t="shared" si="23"/>
        <v>4</v>
      </c>
      <c r="J290" s="122" t="s">
        <v>539</v>
      </c>
      <c r="K290" s="125">
        <v>47095</v>
      </c>
      <c r="L290" s="123">
        <f t="shared" ca="1" si="28"/>
        <v>46106</v>
      </c>
      <c r="M290" s="135">
        <v>36</v>
      </c>
      <c r="N290" s="150">
        <f t="shared" ca="1" si="29"/>
        <v>32.966666666666669</v>
      </c>
      <c r="O290" s="151">
        <f t="shared" ca="1" si="22"/>
        <v>0.91574074074074074</v>
      </c>
      <c r="P290" s="8"/>
      <c r="Q290" s="129"/>
      <c r="R290" s="144" t="s">
        <v>670</v>
      </c>
    </row>
    <row r="291" spans="1:18" ht="24.95" customHeight="1">
      <c r="A291" s="8" t="s">
        <v>640</v>
      </c>
      <c r="B291" s="8" t="s">
        <v>665</v>
      </c>
      <c r="C291" s="122" t="s">
        <v>641</v>
      </c>
      <c r="D291" s="122" t="s">
        <v>547</v>
      </c>
      <c r="E291" s="133" t="s">
        <v>464</v>
      </c>
      <c r="F291" s="134" t="str">
        <f t="shared" si="21"/>
        <v>MUDE</v>
      </c>
      <c r="G291" s="136">
        <v>4</v>
      </c>
      <c r="H291" s="134"/>
      <c r="I291" s="147">
        <f t="shared" si="23"/>
        <v>4</v>
      </c>
      <c r="J291" s="122" t="s">
        <v>538</v>
      </c>
      <c r="K291" s="125">
        <v>46870</v>
      </c>
      <c r="L291" s="123">
        <f t="shared" ca="1" si="28"/>
        <v>46106</v>
      </c>
      <c r="M291" s="135">
        <v>36</v>
      </c>
      <c r="N291" s="150">
        <f t="shared" ca="1" si="29"/>
        <v>25.466666666666665</v>
      </c>
      <c r="O291" s="151">
        <f t="shared" ca="1" si="22"/>
        <v>0.70740740740740737</v>
      </c>
      <c r="P291" s="8"/>
      <c r="Q291" s="129"/>
      <c r="R291" s="144" t="s">
        <v>670</v>
      </c>
    </row>
    <row r="292" spans="1:18" ht="24.95" customHeight="1">
      <c r="A292" s="8" t="s">
        <v>640</v>
      </c>
      <c r="B292" s="8" t="s">
        <v>665</v>
      </c>
      <c r="C292" s="122" t="s">
        <v>641</v>
      </c>
      <c r="D292" s="122" t="s">
        <v>547</v>
      </c>
      <c r="E292" s="133" t="s">
        <v>464</v>
      </c>
      <c r="F292" s="134" t="str">
        <f t="shared" si="21"/>
        <v>MUDE</v>
      </c>
      <c r="G292" s="136">
        <v>2</v>
      </c>
      <c r="H292" s="134"/>
      <c r="I292" s="147">
        <f t="shared" si="23"/>
        <v>2</v>
      </c>
      <c r="J292" s="122" t="s">
        <v>538</v>
      </c>
      <c r="K292" s="125">
        <v>47004</v>
      </c>
      <c r="L292" s="123">
        <f t="shared" ca="1" si="28"/>
        <v>46106</v>
      </c>
      <c r="M292" s="135">
        <v>36</v>
      </c>
      <c r="N292" s="150">
        <f t="shared" ca="1" si="29"/>
        <v>29.933333333333334</v>
      </c>
      <c r="O292" s="151">
        <f t="shared" ca="1" si="22"/>
        <v>0.83148148148148149</v>
      </c>
      <c r="P292" s="8"/>
      <c r="Q292" s="129"/>
      <c r="R292" s="144" t="s">
        <v>670</v>
      </c>
    </row>
    <row r="293" spans="1:18" ht="24.95" customHeight="1">
      <c r="A293" s="8" t="s">
        <v>640</v>
      </c>
      <c r="B293" s="8" t="s">
        <v>665</v>
      </c>
      <c r="C293" s="122" t="s">
        <v>641</v>
      </c>
      <c r="D293" s="122" t="s">
        <v>547</v>
      </c>
      <c r="E293" s="133" t="s">
        <v>464</v>
      </c>
      <c r="F293" s="134" t="str">
        <f t="shared" si="21"/>
        <v>MUDE</v>
      </c>
      <c r="G293" s="134">
        <v>1</v>
      </c>
      <c r="H293" s="134"/>
      <c r="I293" s="147">
        <f t="shared" si="23"/>
        <v>1</v>
      </c>
      <c r="J293" s="122" t="s">
        <v>538</v>
      </c>
      <c r="K293" s="125">
        <v>47087</v>
      </c>
      <c r="L293" s="123">
        <f t="shared" ca="1" si="28"/>
        <v>46106</v>
      </c>
      <c r="M293" s="135">
        <v>36</v>
      </c>
      <c r="N293" s="150">
        <f t="shared" ca="1" si="29"/>
        <v>32.700000000000003</v>
      </c>
      <c r="O293" s="151">
        <f t="shared" ca="1" si="22"/>
        <v>0.90833333333333344</v>
      </c>
      <c r="P293" s="8"/>
      <c r="Q293" s="129"/>
      <c r="R293" s="144" t="s">
        <v>670</v>
      </c>
    </row>
    <row r="294" spans="1:18" ht="24.95" customHeight="1">
      <c r="A294" s="8" t="s">
        <v>640</v>
      </c>
      <c r="B294" s="8" t="s">
        <v>665</v>
      </c>
      <c r="C294" s="122" t="s">
        <v>641</v>
      </c>
      <c r="D294" s="122" t="s">
        <v>547</v>
      </c>
      <c r="E294" s="133" t="s">
        <v>464</v>
      </c>
      <c r="F294" s="134" t="str">
        <f t="shared" si="21"/>
        <v>MUDE</v>
      </c>
      <c r="G294" s="136">
        <v>2</v>
      </c>
      <c r="H294" s="134"/>
      <c r="I294" s="147">
        <f t="shared" si="23"/>
        <v>2</v>
      </c>
      <c r="J294" s="122" t="s">
        <v>539</v>
      </c>
      <c r="K294" s="125">
        <v>46870</v>
      </c>
      <c r="L294" s="123">
        <f t="shared" ca="1" si="28"/>
        <v>46106</v>
      </c>
      <c r="M294" s="135">
        <v>36</v>
      </c>
      <c r="N294" s="150">
        <f t="shared" ca="1" si="29"/>
        <v>25.466666666666665</v>
      </c>
      <c r="O294" s="151">
        <f t="shared" ca="1" si="22"/>
        <v>0.70740740740740737</v>
      </c>
      <c r="P294" s="8"/>
      <c r="Q294" s="129"/>
      <c r="R294" s="144" t="s">
        <v>670</v>
      </c>
    </row>
    <row r="295" spans="1:18" ht="24.95" customHeight="1">
      <c r="A295" s="8" t="s">
        <v>640</v>
      </c>
      <c r="B295" s="8" t="s">
        <v>665</v>
      </c>
      <c r="C295" s="122" t="s">
        <v>641</v>
      </c>
      <c r="D295" s="122" t="s">
        <v>547</v>
      </c>
      <c r="E295" s="133" t="s">
        <v>464</v>
      </c>
      <c r="F295" s="134" t="str">
        <f t="shared" si="21"/>
        <v>MUDE</v>
      </c>
      <c r="G295" s="136">
        <v>1</v>
      </c>
      <c r="H295" s="134"/>
      <c r="I295" s="147">
        <f t="shared" si="23"/>
        <v>1</v>
      </c>
      <c r="J295" s="122" t="s">
        <v>539</v>
      </c>
      <c r="K295" s="125">
        <v>47004</v>
      </c>
      <c r="L295" s="123">
        <f t="shared" ca="1" si="28"/>
        <v>46106</v>
      </c>
      <c r="M295" s="135">
        <v>36</v>
      </c>
      <c r="N295" s="150">
        <f t="shared" ca="1" si="29"/>
        <v>29.933333333333334</v>
      </c>
      <c r="O295" s="151">
        <f t="shared" ca="1" si="22"/>
        <v>0.83148148148148149</v>
      </c>
      <c r="P295" s="8"/>
      <c r="Q295" s="129"/>
      <c r="R295" s="144" t="s">
        <v>670</v>
      </c>
    </row>
    <row r="296" spans="1:18" ht="24.95" customHeight="1">
      <c r="A296" s="8" t="s">
        <v>640</v>
      </c>
      <c r="B296" s="8" t="s">
        <v>665</v>
      </c>
      <c r="C296" s="122" t="s">
        <v>641</v>
      </c>
      <c r="D296" s="122" t="s">
        <v>547</v>
      </c>
      <c r="E296" s="133" t="s">
        <v>464</v>
      </c>
      <c r="F296" s="134" t="str">
        <f t="shared" si="21"/>
        <v>MUDE</v>
      </c>
      <c r="G296" s="136">
        <v>2</v>
      </c>
      <c r="H296" s="134"/>
      <c r="I296" s="147">
        <f t="shared" si="23"/>
        <v>2</v>
      </c>
      <c r="J296" s="122" t="s">
        <v>539</v>
      </c>
      <c r="K296" s="125">
        <v>47087</v>
      </c>
      <c r="L296" s="123">
        <f t="shared" ca="1" si="28"/>
        <v>46106</v>
      </c>
      <c r="M296" s="135">
        <v>36</v>
      </c>
      <c r="N296" s="150">
        <f t="shared" ca="1" si="29"/>
        <v>32.700000000000003</v>
      </c>
      <c r="O296" s="151">
        <f t="shared" ca="1" si="22"/>
        <v>0.90833333333333344</v>
      </c>
      <c r="P296" s="8"/>
      <c r="Q296" s="129"/>
      <c r="R296" s="144" t="s">
        <v>670</v>
      </c>
    </row>
    <row r="297" spans="1:18" ht="24.95" customHeight="1">
      <c r="A297" s="8" t="s">
        <v>640</v>
      </c>
      <c r="B297" s="8" t="s">
        <v>665</v>
      </c>
      <c r="C297" s="122" t="s">
        <v>641</v>
      </c>
      <c r="D297" s="122" t="s">
        <v>548</v>
      </c>
      <c r="E297" s="133" t="s">
        <v>465</v>
      </c>
      <c r="F297" s="134" t="str">
        <f t="shared" si="21"/>
        <v>MUDE</v>
      </c>
      <c r="G297" s="134">
        <v>3</v>
      </c>
      <c r="H297" s="134"/>
      <c r="I297" s="147">
        <f t="shared" si="23"/>
        <v>3</v>
      </c>
      <c r="J297" s="122" t="s">
        <v>538</v>
      </c>
      <c r="K297" s="125">
        <v>47046</v>
      </c>
      <c r="L297" s="123">
        <f t="shared" ca="1" si="28"/>
        <v>46106</v>
      </c>
      <c r="M297" s="135">
        <v>36</v>
      </c>
      <c r="N297" s="150">
        <f t="shared" ca="1" si="29"/>
        <v>31.333333333333332</v>
      </c>
      <c r="O297" s="151">
        <f t="shared" ca="1" si="22"/>
        <v>0.87037037037037035</v>
      </c>
      <c r="P297" s="8"/>
      <c r="Q297" s="129"/>
      <c r="R297" s="144" t="s">
        <v>670</v>
      </c>
    </row>
    <row r="298" spans="1:18" ht="24.95" customHeight="1">
      <c r="A298" s="8" t="s">
        <v>640</v>
      </c>
      <c r="B298" s="8" t="s">
        <v>665</v>
      </c>
      <c r="C298" s="122" t="s">
        <v>641</v>
      </c>
      <c r="D298" s="122" t="s">
        <v>548</v>
      </c>
      <c r="E298" s="133" t="s">
        <v>465</v>
      </c>
      <c r="F298" s="134" t="str">
        <f t="shared" si="21"/>
        <v>MUDE</v>
      </c>
      <c r="G298" s="134">
        <v>1</v>
      </c>
      <c r="H298" s="134"/>
      <c r="I298" s="147">
        <f t="shared" si="23"/>
        <v>1</v>
      </c>
      <c r="J298" s="122" t="s">
        <v>539</v>
      </c>
      <c r="K298" s="125">
        <v>46880</v>
      </c>
      <c r="L298" s="123">
        <f t="shared" ca="1" si="28"/>
        <v>46106</v>
      </c>
      <c r="M298" s="135">
        <v>36</v>
      </c>
      <c r="N298" s="150">
        <f t="shared" ca="1" si="29"/>
        <v>25.8</v>
      </c>
      <c r="O298" s="151">
        <f t="shared" ca="1" si="22"/>
        <v>0.71666666666666667</v>
      </c>
      <c r="P298" s="8"/>
      <c r="Q298" s="129"/>
      <c r="R298" s="144" t="s">
        <v>670</v>
      </c>
    </row>
    <row r="299" spans="1:18" ht="24.95" customHeight="1">
      <c r="A299" s="8" t="s">
        <v>640</v>
      </c>
      <c r="B299" s="8" t="s">
        <v>665</v>
      </c>
      <c r="C299" s="122" t="s">
        <v>641</v>
      </c>
      <c r="D299" s="122" t="s">
        <v>548</v>
      </c>
      <c r="E299" s="133" t="s">
        <v>465</v>
      </c>
      <c r="F299" s="134" t="str">
        <f t="shared" si="21"/>
        <v>MUDE</v>
      </c>
      <c r="G299" s="134">
        <v>3</v>
      </c>
      <c r="H299" s="134"/>
      <c r="I299" s="147">
        <f t="shared" si="23"/>
        <v>3</v>
      </c>
      <c r="J299" s="122" t="s">
        <v>539</v>
      </c>
      <c r="K299" s="125">
        <v>47046</v>
      </c>
      <c r="L299" s="123">
        <f t="shared" ca="1" si="28"/>
        <v>46106</v>
      </c>
      <c r="M299" s="135">
        <v>36</v>
      </c>
      <c r="N299" s="150">
        <f t="shared" ca="1" si="29"/>
        <v>31.333333333333332</v>
      </c>
      <c r="O299" s="151">
        <f t="shared" ca="1" si="22"/>
        <v>0.87037037037037035</v>
      </c>
      <c r="P299" s="8"/>
      <c r="Q299" s="129"/>
      <c r="R299" s="144" t="s">
        <v>670</v>
      </c>
    </row>
    <row r="300" spans="1:18" ht="24.95" customHeight="1">
      <c r="A300" s="8" t="s">
        <v>640</v>
      </c>
      <c r="B300" s="8" t="s">
        <v>665</v>
      </c>
      <c r="C300" s="122" t="s">
        <v>641</v>
      </c>
      <c r="D300" s="122" t="s">
        <v>548</v>
      </c>
      <c r="E300" s="133" t="s">
        <v>465</v>
      </c>
      <c r="F300" s="134" t="str">
        <f t="shared" si="21"/>
        <v>MUDE</v>
      </c>
      <c r="G300" s="134">
        <v>5</v>
      </c>
      <c r="H300" s="134"/>
      <c r="I300" s="147">
        <f t="shared" si="23"/>
        <v>5</v>
      </c>
      <c r="J300" s="122" t="s">
        <v>539</v>
      </c>
      <c r="K300" s="125">
        <v>47094</v>
      </c>
      <c r="L300" s="123">
        <f t="shared" ca="1" si="28"/>
        <v>46106</v>
      </c>
      <c r="M300" s="135">
        <v>36</v>
      </c>
      <c r="N300" s="150">
        <f t="shared" ca="1" si="29"/>
        <v>32.93333333333333</v>
      </c>
      <c r="O300" s="151">
        <f t="shared" ca="1" si="22"/>
        <v>0.91481481481481475</v>
      </c>
      <c r="P300" s="8"/>
      <c r="Q300" s="129"/>
      <c r="R300" s="144" t="s">
        <v>670</v>
      </c>
    </row>
    <row r="301" spans="1:18" ht="24.95" customHeight="1">
      <c r="A301" s="8" t="s">
        <v>640</v>
      </c>
      <c r="B301" s="8" t="s">
        <v>665</v>
      </c>
      <c r="C301" s="122" t="s">
        <v>641</v>
      </c>
      <c r="D301" s="122" t="s">
        <v>549</v>
      </c>
      <c r="E301" s="133" t="s">
        <v>466</v>
      </c>
      <c r="F301" s="134" t="str">
        <f t="shared" si="21"/>
        <v>MUDE</v>
      </c>
      <c r="G301" s="136">
        <v>7</v>
      </c>
      <c r="H301" s="134"/>
      <c r="I301" s="147">
        <f t="shared" si="23"/>
        <v>7</v>
      </c>
      <c r="J301" s="122" t="s">
        <v>538</v>
      </c>
      <c r="K301" s="125">
        <v>47046</v>
      </c>
      <c r="L301" s="123">
        <f t="shared" ca="1" si="28"/>
        <v>46106</v>
      </c>
      <c r="M301" s="135">
        <v>36</v>
      </c>
      <c r="N301" s="150">
        <f t="shared" ca="1" si="29"/>
        <v>31.333333333333332</v>
      </c>
      <c r="O301" s="151">
        <f t="shared" ca="1" si="22"/>
        <v>0.87037037037037035</v>
      </c>
      <c r="P301" s="8"/>
      <c r="Q301" s="129"/>
      <c r="R301" s="144" t="s">
        <v>670</v>
      </c>
    </row>
    <row r="302" spans="1:18" ht="24.95" customHeight="1">
      <c r="A302" s="8" t="s">
        <v>640</v>
      </c>
      <c r="B302" s="8" t="s">
        <v>665</v>
      </c>
      <c r="C302" s="122" t="s">
        <v>641</v>
      </c>
      <c r="D302" s="122" t="s">
        <v>549</v>
      </c>
      <c r="E302" s="133" t="s">
        <v>466</v>
      </c>
      <c r="F302" s="134" t="str">
        <f t="shared" si="21"/>
        <v>MUDE</v>
      </c>
      <c r="G302" s="136">
        <v>6</v>
      </c>
      <c r="H302" s="134"/>
      <c r="I302" s="147">
        <f t="shared" si="23"/>
        <v>6</v>
      </c>
      <c r="J302" s="122" t="s">
        <v>538</v>
      </c>
      <c r="K302" s="125">
        <v>46961</v>
      </c>
      <c r="L302" s="123">
        <f t="shared" ca="1" si="28"/>
        <v>46106</v>
      </c>
      <c r="M302" s="135">
        <v>36</v>
      </c>
      <c r="N302" s="150">
        <f t="shared" ca="1" si="29"/>
        <v>28.5</v>
      </c>
      <c r="O302" s="151">
        <f t="shared" ca="1" si="22"/>
        <v>0.79166666666666663</v>
      </c>
      <c r="P302" s="8"/>
      <c r="Q302" s="129"/>
      <c r="R302" s="144" t="s">
        <v>670</v>
      </c>
    </row>
    <row r="303" spans="1:18" ht="24.95" customHeight="1">
      <c r="A303" s="8" t="s">
        <v>640</v>
      </c>
      <c r="B303" s="8" t="s">
        <v>665</v>
      </c>
      <c r="C303" s="122" t="s">
        <v>641</v>
      </c>
      <c r="D303" s="122" t="s">
        <v>549</v>
      </c>
      <c r="E303" s="133" t="s">
        <v>466</v>
      </c>
      <c r="F303" s="134" t="str">
        <f t="shared" si="21"/>
        <v>MUDE</v>
      </c>
      <c r="G303" s="136">
        <v>1</v>
      </c>
      <c r="H303" s="134"/>
      <c r="I303" s="147">
        <f t="shared" si="23"/>
        <v>1</v>
      </c>
      <c r="J303" s="122" t="s">
        <v>538</v>
      </c>
      <c r="K303" s="125">
        <v>46899</v>
      </c>
      <c r="L303" s="123">
        <f t="shared" ca="1" si="28"/>
        <v>46106</v>
      </c>
      <c r="M303" s="135">
        <v>36</v>
      </c>
      <c r="N303" s="150">
        <f t="shared" ca="1" si="29"/>
        <v>26.433333333333334</v>
      </c>
      <c r="O303" s="151">
        <f t="shared" ca="1" si="22"/>
        <v>0.73425925925925928</v>
      </c>
      <c r="P303" s="8"/>
      <c r="Q303" s="129"/>
      <c r="R303" s="144" t="s">
        <v>670</v>
      </c>
    </row>
    <row r="304" spans="1:18" ht="24.95" customHeight="1">
      <c r="A304" s="8" t="s">
        <v>640</v>
      </c>
      <c r="B304" s="8" t="s">
        <v>665</v>
      </c>
      <c r="C304" s="122" t="s">
        <v>641</v>
      </c>
      <c r="D304" s="122" t="s">
        <v>550</v>
      </c>
      <c r="E304" s="133" t="s">
        <v>343</v>
      </c>
      <c r="F304" s="134" t="str">
        <f t="shared" si="21"/>
        <v>GLAMRR Q</v>
      </c>
      <c r="G304" s="134">
        <v>2</v>
      </c>
      <c r="H304" s="134"/>
      <c r="I304" s="147">
        <f t="shared" si="23"/>
        <v>2</v>
      </c>
      <c r="J304" s="122" t="s">
        <v>538</v>
      </c>
      <c r="K304" s="125">
        <v>46313</v>
      </c>
      <c r="L304" s="123">
        <f t="shared" ca="1" si="28"/>
        <v>46106</v>
      </c>
      <c r="M304" s="135">
        <v>36</v>
      </c>
      <c r="N304" s="150">
        <f t="shared" ca="1" si="29"/>
        <v>6.9</v>
      </c>
      <c r="O304" s="151">
        <f t="shared" ca="1" si="22"/>
        <v>0.19166666666666668</v>
      </c>
      <c r="P304" s="8"/>
      <c r="Q304" s="129"/>
      <c r="R304" s="144" t="s">
        <v>670</v>
      </c>
    </row>
    <row r="305" spans="1:18" ht="24.95" customHeight="1">
      <c r="A305" s="8" t="s">
        <v>640</v>
      </c>
      <c r="B305" s="8" t="s">
        <v>665</v>
      </c>
      <c r="C305" s="122" t="s">
        <v>641</v>
      </c>
      <c r="D305" s="122" t="s">
        <v>550</v>
      </c>
      <c r="E305" s="133" t="s">
        <v>343</v>
      </c>
      <c r="F305" s="134" t="str">
        <f t="shared" si="21"/>
        <v>GLAMRR Q</v>
      </c>
      <c r="G305" s="134">
        <v>17</v>
      </c>
      <c r="H305" s="134"/>
      <c r="I305" s="147">
        <f t="shared" si="23"/>
        <v>17</v>
      </c>
      <c r="J305" s="122" t="s">
        <v>539</v>
      </c>
      <c r="K305" s="125">
        <v>46313</v>
      </c>
      <c r="L305" s="123">
        <f t="shared" ca="1" si="28"/>
        <v>46106</v>
      </c>
      <c r="M305" s="135">
        <v>36</v>
      </c>
      <c r="N305" s="150">
        <f t="shared" ca="1" si="29"/>
        <v>6.9</v>
      </c>
      <c r="O305" s="151">
        <f t="shared" ca="1" si="22"/>
        <v>0.19166666666666668</v>
      </c>
      <c r="P305" s="8"/>
      <c r="Q305" s="129"/>
      <c r="R305" s="144" t="s">
        <v>670</v>
      </c>
    </row>
    <row r="306" spans="1:18" ht="24.95" customHeight="1">
      <c r="A306" s="8" t="s">
        <v>640</v>
      </c>
      <c r="B306" s="8" t="s">
        <v>665</v>
      </c>
      <c r="C306" s="122" t="s">
        <v>641</v>
      </c>
      <c r="D306" s="122" t="s">
        <v>551</v>
      </c>
      <c r="E306" s="133" t="s">
        <v>552</v>
      </c>
      <c r="F306" s="134" t="str">
        <f t="shared" si="21"/>
        <v>MUDE</v>
      </c>
      <c r="G306" s="136">
        <v>3</v>
      </c>
      <c r="H306" s="134"/>
      <c r="I306" s="147">
        <f t="shared" si="23"/>
        <v>3</v>
      </c>
      <c r="J306" s="122" t="s">
        <v>538</v>
      </c>
      <c r="K306" s="125">
        <v>47040</v>
      </c>
      <c r="L306" s="123">
        <f t="shared" ca="1" si="28"/>
        <v>46106</v>
      </c>
      <c r="M306" s="135">
        <v>36</v>
      </c>
      <c r="N306" s="150">
        <f t="shared" ca="1" si="29"/>
        <v>31.133333333333333</v>
      </c>
      <c r="O306" s="151">
        <f t="shared" ca="1" si="22"/>
        <v>0.86481481481481481</v>
      </c>
      <c r="P306" s="8"/>
      <c r="Q306" s="129"/>
      <c r="R306" s="144" t="s">
        <v>670</v>
      </c>
    </row>
    <row r="307" spans="1:18" ht="24.95" customHeight="1">
      <c r="A307" s="8" t="s">
        <v>640</v>
      </c>
      <c r="B307" s="8" t="s">
        <v>665</v>
      </c>
      <c r="C307" s="122" t="s">
        <v>641</v>
      </c>
      <c r="D307" s="122" t="s">
        <v>551</v>
      </c>
      <c r="E307" s="133" t="s">
        <v>552</v>
      </c>
      <c r="F307" s="134" t="str">
        <f t="shared" si="21"/>
        <v>MUDE</v>
      </c>
      <c r="G307" s="136">
        <v>2</v>
      </c>
      <c r="H307" s="134"/>
      <c r="I307" s="147">
        <f t="shared" si="23"/>
        <v>2</v>
      </c>
      <c r="J307" s="122" t="s">
        <v>538</v>
      </c>
      <c r="K307" s="125">
        <v>46872</v>
      </c>
      <c r="L307" s="123">
        <f t="shared" ca="1" si="28"/>
        <v>46106</v>
      </c>
      <c r="M307" s="135">
        <v>36</v>
      </c>
      <c r="N307" s="150">
        <f t="shared" ca="1" si="29"/>
        <v>25.533333333333335</v>
      </c>
      <c r="O307" s="151">
        <f t="shared" ca="1" si="22"/>
        <v>0.70925925925925926</v>
      </c>
      <c r="P307" s="8"/>
      <c r="Q307" s="129"/>
      <c r="R307" s="144" t="s">
        <v>670</v>
      </c>
    </row>
    <row r="308" spans="1:18" ht="24.95" customHeight="1">
      <c r="A308" s="8" t="s">
        <v>640</v>
      </c>
      <c r="B308" s="8" t="s">
        <v>665</v>
      </c>
      <c r="C308" s="122" t="s">
        <v>641</v>
      </c>
      <c r="D308" s="122" t="s">
        <v>553</v>
      </c>
      <c r="E308" s="133" t="s">
        <v>357</v>
      </c>
      <c r="F308" s="134" t="str">
        <f t="shared" si="21"/>
        <v>MUDE</v>
      </c>
      <c r="G308" s="136">
        <v>2</v>
      </c>
      <c r="H308" s="134"/>
      <c r="I308" s="147">
        <f t="shared" si="23"/>
        <v>2</v>
      </c>
      <c r="J308" s="122" t="s">
        <v>538</v>
      </c>
      <c r="K308" s="125">
        <v>46502</v>
      </c>
      <c r="L308" s="123">
        <f t="shared" ca="1" si="28"/>
        <v>46106</v>
      </c>
      <c r="M308" s="135">
        <v>36</v>
      </c>
      <c r="N308" s="150">
        <f t="shared" ca="1" si="29"/>
        <v>13.2</v>
      </c>
      <c r="O308" s="151">
        <f t="shared" ca="1" si="22"/>
        <v>0.36666666666666664</v>
      </c>
      <c r="P308" s="8"/>
      <c r="Q308" s="129"/>
      <c r="R308" s="144" t="s">
        <v>670</v>
      </c>
    </row>
    <row r="309" spans="1:18" ht="24.95" customHeight="1">
      <c r="A309" s="8" t="s">
        <v>640</v>
      </c>
      <c r="B309" s="8" t="s">
        <v>665</v>
      </c>
      <c r="C309" s="122" t="s">
        <v>641</v>
      </c>
      <c r="D309" s="122" t="s">
        <v>554</v>
      </c>
      <c r="E309" s="133" t="s">
        <v>481</v>
      </c>
      <c r="F309" s="134" t="str">
        <f t="shared" si="21"/>
        <v>MUDE</v>
      </c>
      <c r="G309" s="136">
        <v>1</v>
      </c>
      <c r="H309" s="134"/>
      <c r="I309" s="147">
        <f t="shared" si="23"/>
        <v>1</v>
      </c>
      <c r="J309" s="122" t="s">
        <v>538</v>
      </c>
      <c r="K309" s="125">
        <v>46871</v>
      </c>
      <c r="L309" s="123">
        <f t="shared" ca="1" si="28"/>
        <v>46106</v>
      </c>
      <c r="M309" s="135">
        <v>36</v>
      </c>
      <c r="N309" s="150">
        <f t="shared" ca="1" si="29"/>
        <v>25.5</v>
      </c>
      <c r="O309" s="151">
        <f t="shared" ca="1" si="22"/>
        <v>0.70833333333333337</v>
      </c>
      <c r="P309" s="8"/>
      <c r="Q309" s="129"/>
      <c r="R309" s="144" t="s">
        <v>670</v>
      </c>
    </row>
    <row r="310" spans="1:18" ht="24.95" customHeight="1">
      <c r="A310" s="8" t="s">
        <v>640</v>
      </c>
      <c r="B310" s="8" t="s">
        <v>665</v>
      </c>
      <c r="C310" s="122" t="s">
        <v>641</v>
      </c>
      <c r="D310" s="122" t="s">
        <v>555</v>
      </c>
      <c r="E310" s="133" t="s">
        <v>362</v>
      </c>
      <c r="F310" s="134" t="str">
        <f t="shared" si="21"/>
        <v>MUDE</v>
      </c>
      <c r="G310" s="136">
        <v>5</v>
      </c>
      <c r="H310" s="134"/>
      <c r="I310" s="147">
        <f t="shared" si="23"/>
        <v>5</v>
      </c>
      <c r="J310" s="122" t="s">
        <v>538</v>
      </c>
      <c r="K310" s="126">
        <v>47052</v>
      </c>
      <c r="L310" s="123">
        <f t="shared" ca="1" si="28"/>
        <v>46106</v>
      </c>
      <c r="M310" s="135">
        <v>36</v>
      </c>
      <c r="N310" s="150">
        <f t="shared" ca="1" si="29"/>
        <v>31.533333333333335</v>
      </c>
      <c r="O310" s="151">
        <f t="shared" ca="1" si="22"/>
        <v>0.875925925925926</v>
      </c>
      <c r="P310" s="8"/>
      <c r="Q310" s="129"/>
      <c r="R310" s="144" t="s">
        <v>670</v>
      </c>
    </row>
    <row r="311" spans="1:18" ht="24.95" customHeight="1">
      <c r="A311" s="8" t="s">
        <v>640</v>
      </c>
      <c r="B311" s="8" t="s">
        <v>665</v>
      </c>
      <c r="C311" s="122" t="s">
        <v>641</v>
      </c>
      <c r="D311" s="122" t="s">
        <v>555</v>
      </c>
      <c r="E311" s="133" t="s">
        <v>362</v>
      </c>
      <c r="F311" s="134" t="str">
        <f t="shared" si="21"/>
        <v>MUDE</v>
      </c>
      <c r="G311" s="136">
        <v>1</v>
      </c>
      <c r="H311" s="134"/>
      <c r="I311" s="147">
        <f t="shared" si="23"/>
        <v>1</v>
      </c>
      <c r="J311" s="122" t="s">
        <v>538</v>
      </c>
      <c r="K311" s="126">
        <v>46318</v>
      </c>
      <c r="L311" s="123">
        <f t="shared" ca="1" si="28"/>
        <v>46106</v>
      </c>
      <c r="M311" s="135">
        <v>36</v>
      </c>
      <c r="N311" s="150">
        <f t="shared" ca="1" si="29"/>
        <v>7.0666666666666664</v>
      </c>
      <c r="O311" s="151">
        <f t="shared" ca="1" si="22"/>
        <v>0.1962962962962963</v>
      </c>
      <c r="P311" s="8"/>
      <c r="Q311" s="129"/>
      <c r="R311" s="144" t="s">
        <v>670</v>
      </c>
    </row>
    <row r="312" spans="1:18" ht="24.95" customHeight="1">
      <c r="A312" s="8" t="s">
        <v>640</v>
      </c>
      <c r="B312" s="8" t="s">
        <v>665</v>
      </c>
      <c r="C312" s="122" t="s">
        <v>641</v>
      </c>
      <c r="D312" s="122" t="s">
        <v>555</v>
      </c>
      <c r="E312" s="133" t="s">
        <v>362</v>
      </c>
      <c r="F312" s="134" t="str">
        <f t="shared" si="21"/>
        <v>MUDE</v>
      </c>
      <c r="G312" s="136">
        <v>1</v>
      </c>
      <c r="H312" s="134"/>
      <c r="I312" s="147">
        <f t="shared" si="23"/>
        <v>1</v>
      </c>
      <c r="J312" s="122" t="s">
        <v>538</v>
      </c>
      <c r="K312" s="126">
        <v>46930</v>
      </c>
      <c r="L312" s="123">
        <f t="shared" ca="1" si="28"/>
        <v>46106</v>
      </c>
      <c r="M312" s="135">
        <v>36</v>
      </c>
      <c r="N312" s="150">
        <f t="shared" ca="1" si="29"/>
        <v>27.466666666666665</v>
      </c>
      <c r="O312" s="151">
        <f t="shared" ca="1" si="22"/>
        <v>0.76296296296296295</v>
      </c>
      <c r="P312" s="8"/>
      <c r="Q312" s="129"/>
      <c r="R312" s="144" t="s">
        <v>670</v>
      </c>
    </row>
    <row r="313" spans="1:18" ht="24.95" customHeight="1">
      <c r="A313" s="8" t="s">
        <v>640</v>
      </c>
      <c r="B313" s="8" t="s">
        <v>665</v>
      </c>
      <c r="C313" s="122" t="s">
        <v>641</v>
      </c>
      <c r="D313" s="122" t="s">
        <v>555</v>
      </c>
      <c r="E313" s="133" t="s">
        <v>362</v>
      </c>
      <c r="F313" s="134" t="str">
        <f t="shared" si="21"/>
        <v>MUDE</v>
      </c>
      <c r="G313" s="136">
        <v>2</v>
      </c>
      <c r="H313" s="134"/>
      <c r="I313" s="147">
        <f t="shared" si="23"/>
        <v>2</v>
      </c>
      <c r="J313" s="122" t="s">
        <v>539</v>
      </c>
      <c r="K313" s="126">
        <v>46340</v>
      </c>
      <c r="L313" s="123">
        <f t="shared" ca="1" si="28"/>
        <v>46106</v>
      </c>
      <c r="M313" s="135">
        <v>36</v>
      </c>
      <c r="N313" s="150">
        <f t="shared" ca="1" si="29"/>
        <v>7.8</v>
      </c>
      <c r="O313" s="151">
        <f t="shared" ca="1" si="22"/>
        <v>0.21666666666666667</v>
      </c>
      <c r="P313" s="8"/>
      <c r="Q313" s="129"/>
      <c r="R313" s="144" t="s">
        <v>670</v>
      </c>
    </row>
    <row r="314" spans="1:18" ht="24.95" customHeight="1">
      <c r="A314" s="8" t="s">
        <v>640</v>
      </c>
      <c r="B314" s="8" t="s">
        <v>665</v>
      </c>
      <c r="C314" s="122" t="s">
        <v>641</v>
      </c>
      <c r="D314" s="122" t="s">
        <v>555</v>
      </c>
      <c r="E314" s="133" t="s">
        <v>362</v>
      </c>
      <c r="F314" s="134" t="str">
        <f t="shared" si="21"/>
        <v>MUDE</v>
      </c>
      <c r="G314" s="136">
        <v>1</v>
      </c>
      <c r="H314" s="134"/>
      <c r="I314" s="147">
        <f t="shared" si="23"/>
        <v>1</v>
      </c>
      <c r="J314" s="122" t="s">
        <v>539</v>
      </c>
      <c r="K314" s="126">
        <v>46930</v>
      </c>
      <c r="L314" s="123">
        <f t="shared" ca="1" si="28"/>
        <v>46106</v>
      </c>
      <c r="M314" s="135">
        <v>36</v>
      </c>
      <c r="N314" s="150">
        <f t="shared" ca="1" si="29"/>
        <v>27.466666666666665</v>
      </c>
      <c r="O314" s="151">
        <f t="shared" ca="1" si="22"/>
        <v>0.76296296296296295</v>
      </c>
      <c r="P314" s="8"/>
      <c r="Q314" s="129"/>
      <c r="R314" s="144" t="s">
        <v>670</v>
      </c>
    </row>
    <row r="315" spans="1:18" ht="24.95" customHeight="1">
      <c r="A315" s="8" t="s">
        <v>640</v>
      </c>
      <c r="B315" s="8" t="s">
        <v>665</v>
      </c>
      <c r="C315" s="122" t="s">
        <v>641</v>
      </c>
      <c r="D315" s="122" t="s">
        <v>555</v>
      </c>
      <c r="E315" s="133" t="s">
        <v>362</v>
      </c>
      <c r="F315" s="134" t="str">
        <f t="shared" si="21"/>
        <v>MUDE</v>
      </c>
      <c r="G315" s="136">
        <v>1</v>
      </c>
      <c r="H315" s="134"/>
      <c r="I315" s="147">
        <f t="shared" si="23"/>
        <v>1</v>
      </c>
      <c r="J315" s="122" t="s">
        <v>539</v>
      </c>
      <c r="K315" s="126">
        <v>47045</v>
      </c>
      <c r="L315" s="123">
        <f t="shared" ca="1" si="28"/>
        <v>46106</v>
      </c>
      <c r="M315" s="135">
        <v>36</v>
      </c>
      <c r="N315" s="150">
        <f t="shared" ca="1" si="29"/>
        <v>31.3</v>
      </c>
      <c r="O315" s="151">
        <f t="shared" ca="1" si="22"/>
        <v>0.86944444444444446</v>
      </c>
      <c r="P315" s="8"/>
      <c r="Q315" s="129"/>
      <c r="R315" s="144" t="s">
        <v>670</v>
      </c>
    </row>
    <row r="316" spans="1:18" ht="24.95" customHeight="1">
      <c r="A316" s="8" t="s">
        <v>640</v>
      </c>
      <c r="B316" s="8" t="s">
        <v>665</v>
      </c>
      <c r="C316" s="122" t="s">
        <v>641</v>
      </c>
      <c r="D316" s="122" t="s">
        <v>555</v>
      </c>
      <c r="E316" s="133" t="s">
        <v>362</v>
      </c>
      <c r="F316" s="134" t="str">
        <f t="shared" si="21"/>
        <v>MUDE</v>
      </c>
      <c r="G316" s="136">
        <v>1</v>
      </c>
      <c r="H316" s="134"/>
      <c r="I316" s="147">
        <f t="shared" si="23"/>
        <v>1</v>
      </c>
      <c r="J316" s="122" t="s">
        <v>539</v>
      </c>
      <c r="K316" s="126">
        <v>47045</v>
      </c>
      <c r="L316" s="123">
        <f t="shared" ca="1" si="28"/>
        <v>46106</v>
      </c>
      <c r="M316" s="135">
        <v>36</v>
      </c>
      <c r="N316" s="150">
        <f t="shared" ca="1" si="29"/>
        <v>31.3</v>
      </c>
      <c r="O316" s="151">
        <f t="shared" ca="1" si="22"/>
        <v>0.86944444444444446</v>
      </c>
      <c r="P316" s="8"/>
      <c r="Q316" s="129"/>
      <c r="R316" s="144" t="s">
        <v>670</v>
      </c>
    </row>
    <row r="317" spans="1:18" ht="24.95" customHeight="1">
      <c r="A317" s="8" t="s">
        <v>640</v>
      </c>
      <c r="B317" s="8" t="s">
        <v>665</v>
      </c>
      <c r="C317" s="122" t="s">
        <v>641</v>
      </c>
      <c r="D317" s="122" t="s">
        <v>555</v>
      </c>
      <c r="E317" s="133" t="s">
        <v>362</v>
      </c>
      <c r="F317" s="134" t="str">
        <f t="shared" si="21"/>
        <v>MUDE</v>
      </c>
      <c r="G317" s="136">
        <v>11</v>
      </c>
      <c r="H317" s="134"/>
      <c r="I317" s="147">
        <f t="shared" si="23"/>
        <v>11</v>
      </c>
      <c r="J317" s="122" t="s">
        <v>539</v>
      </c>
      <c r="K317" s="126">
        <v>47052</v>
      </c>
      <c r="L317" s="123">
        <f t="shared" ca="1" si="28"/>
        <v>46106</v>
      </c>
      <c r="M317" s="135">
        <v>36</v>
      </c>
      <c r="N317" s="150">
        <f t="shared" ca="1" si="29"/>
        <v>31.533333333333335</v>
      </c>
      <c r="O317" s="151">
        <f t="shared" ca="1" si="22"/>
        <v>0.875925925925926</v>
      </c>
      <c r="P317" s="8"/>
      <c r="Q317" s="129"/>
      <c r="R317" s="144" t="s">
        <v>670</v>
      </c>
    </row>
    <row r="318" spans="1:18" ht="24.95" customHeight="1">
      <c r="A318" s="8" t="s">
        <v>640</v>
      </c>
      <c r="B318" s="8" t="s">
        <v>665</v>
      </c>
      <c r="C318" s="122" t="s">
        <v>641</v>
      </c>
      <c r="D318" s="122" t="s">
        <v>556</v>
      </c>
      <c r="E318" s="133" t="s">
        <v>363</v>
      </c>
      <c r="F318" s="134" t="str">
        <f t="shared" si="21"/>
        <v>MUDE</v>
      </c>
      <c r="G318" s="134">
        <v>10</v>
      </c>
      <c r="H318" s="134"/>
      <c r="I318" s="147">
        <f t="shared" si="23"/>
        <v>10</v>
      </c>
      <c r="J318" s="122" t="s">
        <v>538</v>
      </c>
      <c r="K318" s="125">
        <v>47045</v>
      </c>
      <c r="L318" s="123">
        <f t="shared" ca="1" si="28"/>
        <v>46106</v>
      </c>
      <c r="M318" s="135">
        <v>36</v>
      </c>
      <c r="N318" s="150">
        <f t="shared" ca="1" si="29"/>
        <v>31.3</v>
      </c>
      <c r="O318" s="151">
        <f t="shared" ca="1" si="22"/>
        <v>0.86944444444444446</v>
      </c>
      <c r="P318" s="8"/>
      <c r="Q318" s="129"/>
      <c r="R318" s="144" t="s">
        <v>670</v>
      </c>
    </row>
    <row r="319" spans="1:18" ht="24.95" customHeight="1">
      <c r="A319" s="8" t="s">
        <v>640</v>
      </c>
      <c r="B319" s="8" t="s">
        <v>665</v>
      </c>
      <c r="C319" s="122" t="s">
        <v>641</v>
      </c>
      <c r="D319" s="122" t="s">
        <v>556</v>
      </c>
      <c r="E319" s="133" t="s">
        <v>363</v>
      </c>
      <c r="F319" s="134" t="str">
        <f t="shared" si="21"/>
        <v>MUDE</v>
      </c>
      <c r="G319" s="134">
        <v>2</v>
      </c>
      <c r="H319" s="134"/>
      <c r="I319" s="147">
        <f t="shared" si="23"/>
        <v>2</v>
      </c>
      <c r="J319" s="122" t="s">
        <v>538</v>
      </c>
      <c r="K319" s="125">
        <v>46961</v>
      </c>
      <c r="L319" s="123">
        <f t="shared" ca="1" si="28"/>
        <v>46106</v>
      </c>
      <c r="M319" s="135">
        <v>36</v>
      </c>
      <c r="N319" s="150">
        <f t="shared" ca="1" si="29"/>
        <v>28.5</v>
      </c>
      <c r="O319" s="151">
        <f t="shared" ca="1" si="22"/>
        <v>0.79166666666666663</v>
      </c>
      <c r="P319" s="8"/>
      <c r="Q319" s="129"/>
      <c r="R319" s="144" t="s">
        <v>670</v>
      </c>
    </row>
    <row r="320" spans="1:18" ht="24.95" customHeight="1">
      <c r="A320" s="8" t="s">
        <v>640</v>
      </c>
      <c r="B320" s="8" t="s">
        <v>665</v>
      </c>
      <c r="C320" s="122" t="s">
        <v>641</v>
      </c>
      <c r="D320" s="122" t="s">
        <v>556</v>
      </c>
      <c r="E320" s="133" t="s">
        <v>363</v>
      </c>
      <c r="F320" s="134" t="str">
        <f t="shared" si="21"/>
        <v>MUDE</v>
      </c>
      <c r="G320" s="134">
        <v>4</v>
      </c>
      <c r="H320" s="134"/>
      <c r="I320" s="147">
        <f t="shared" si="23"/>
        <v>4</v>
      </c>
      <c r="J320" s="122" t="s">
        <v>539</v>
      </c>
      <c r="K320" s="125">
        <v>46961</v>
      </c>
      <c r="L320" s="123">
        <f t="shared" ca="1" si="28"/>
        <v>46106</v>
      </c>
      <c r="M320" s="135">
        <v>36</v>
      </c>
      <c r="N320" s="150">
        <f t="shared" ca="1" si="29"/>
        <v>28.5</v>
      </c>
      <c r="O320" s="151">
        <f t="shared" ca="1" si="22"/>
        <v>0.79166666666666663</v>
      </c>
      <c r="P320" s="8"/>
      <c r="Q320" s="129"/>
      <c r="R320" s="144" t="s">
        <v>670</v>
      </c>
    </row>
    <row r="321" spans="1:18" ht="24.95" customHeight="1">
      <c r="A321" s="8" t="s">
        <v>640</v>
      </c>
      <c r="B321" s="8" t="s">
        <v>665</v>
      </c>
      <c r="C321" s="122" t="s">
        <v>641</v>
      </c>
      <c r="D321" s="122" t="s">
        <v>556</v>
      </c>
      <c r="E321" s="133" t="s">
        <v>363</v>
      </c>
      <c r="F321" s="134" t="str">
        <f t="shared" ref="F321:F384" si="30">IF(ISNUMBER(SEARCH("gilaa",E321)),"GILAA",
IF(ISNUMBER(SEARCH("GLAMRR Q",E321)),"GLAMRR Q",
IF(ISNUMBER(SEARCH("BAD PEACH",E321)),"BAD PEACH",
IF(ISNUMBER(SEARCH("VEGICK",E321)),"VEGICK",
IF(ISNUMBER(SEARCH("DE MEMORIA",E321)),"DE MEMORIA",
IF(ISNUMBER(SEARCH("MUDE",E321)),"MUDE",
IF(ISNUMBER(SEARCH("daoida",E321)),"DAOIDA",IF(ISNUMBER(SEARCH("MEDIFORCELL",E321)),"MEDIFORCELL",IF(ISNUMBER(SEARCH("PLU",E321)),"PLU","")))))))))</f>
        <v>MUDE</v>
      </c>
      <c r="G321" s="134">
        <v>5</v>
      </c>
      <c r="H321" s="134"/>
      <c r="I321" s="147">
        <f t="shared" si="23"/>
        <v>5</v>
      </c>
      <c r="J321" s="122" t="s">
        <v>539</v>
      </c>
      <c r="K321" s="125">
        <v>47045</v>
      </c>
      <c r="L321" s="123">
        <f t="shared" ca="1" si="28"/>
        <v>46106</v>
      </c>
      <c r="M321" s="135">
        <v>36</v>
      </c>
      <c r="N321" s="150">
        <f t="shared" ca="1" si="29"/>
        <v>31.3</v>
      </c>
      <c r="O321" s="151">
        <f t="shared" ca="1" si="22"/>
        <v>0.86944444444444446</v>
      </c>
      <c r="P321" s="8"/>
      <c r="Q321" s="129"/>
      <c r="R321" s="144" t="s">
        <v>670</v>
      </c>
    </row>
    <row r="322" spans="1:18" ht="24.95" customHeight="1">
      <c r="A322" s="8" t="s">
        <v>640</v>
      </c>
      <c r="B322" s="8" t="s">
        <v>665</v>
      </c>
      <c r="C322" s="122" t="s">
        <v>641</v>
      </c>
      <c r="D322" s="122" t="s">
        <v>557</v>
      </c>
      <c r="E322" s="133" t="s">
        <v>558</v>
      </c>
      <c r="F322" s="134" t="str">
        <f t="shared" si="30"/>
        <v>MUDE</v>
      </c>
      <c r="G322" s="136">
        <v>3</v>
      </c>
      <c r="H322" s="134"/>
      <c r="I322" s="147">
        <f t="shared" si="23"/>
        <v>3</v>
      </c>
      <c r="J322" s="122" t="s">
        <v>538</v>
      </c>
      <c r="K322" s="125">
        <v>47026</v>
      </c>
      <c r="L322" s="123">
        <f t="shared" ca="1" si="28"/>
        <v>46106</v>
      </c>
      <c r="M322" s="135">
        <v>36</v>
      </c>
      <c r="N322" s="150">
        <f t="shared" ca="1" si="29"/>
        <v>30.666666666666668</v>
      </c>
      <c r="O322" s="151">
        <f t="shared" ref="O322:O385" ca="1" si="31">N322/M322</f>
        <v>0.85185185185185186</v>
      </c>
      <c r="P322" s="8"/>
      <c r="Q322" s="129"/>
      <c r="R322" s="144" t="s">
        <v>670</v>
      </c>
    </row>
    <row r="323" spans="1:18" ht="24.95" customHeight="1">
      <c r="A323" s="8" t="s">
        <v>640</v>
      </c>
      <c r="B323" s="8" t="s">
        <v>665</v>
      </c>
      <c r="C323" s="122" t="s">
        <v>641</v>
      </c>
      <c r="D323" s="122" t="s">
        <v>557</v>
      </c>
      <c r="E323" s="133" t="s">
        <v>558</v>
      </c>
      <c r="F323" s="134" t="str">
        <f t="shared" si="30"/>
        <v>MUDE</v>
      </c>
      <c r="G323" s="136">
        <v>2</v>
      </c>
      <c r="H323" s="134"/>
      <c r="I323" s="147">
        <f t="shared" ref="I323:I386" si="32">G323-H323</f>
        <v>2</v>
      </c>
      <c r="J323" s="122" t="s">
        <v>538</v>
      </c>
      <c r="K323" s="125">
        <v>46872</v>
      </c>
      <c r="L323" s="123">
        <f t="shared" ca="1" si="28"/>
        <v>46106</v>
      </c>
      <c r="M323" s="135">
        <v>36</v>
      </c>
      <c r="N323" s="150">
        <f t="shared" ca="1" si="29"/>
        <v>25.533333333333335</v>
      </c>
      <c r="O323" s="151">
        <f t="shared" ca="1" si="31"/>
        <v>0.70925925925925926</v>
      </c>
      <c r="P323" s="8"/>
      <c r="Q323" s="129"/>
      <c r="R323" s="144" t="s">
        <v>670</v>
      </c>
    </row>
    <row r="324" spans="1:18" ht="24.95" customHeight="1">
      <c r="A324" s="8" t="s">
        <v>640</v>
      </c>
      <c r="B324" s="8" t="s">
        <v>665</v>
      </c>
      <c r="C324" s="122" t="s">
        <v>641</v>
      </c>
      <c r="D324" s="122" t="s">
        <v>559</v>
      </c>
      <c r="E324" s="133" t="s">
        <v>361</v>
      </c>
      <c r="F324" s="134" t="str">
        <f t="shared" si="30"/>
        <v>MUDE</v>
      </c>
      <c r="G324" s="136">
        <v>8</v>
      </c>
      <c r="H324" s="134"/>
      <c r="I324" s="147">
        <f t="shared" si="32"/>
        <v>8</v>
      </c>
      <c r="J324" s="122" t="s">
        <v>538</v>
      </c>
      <c r="K324" s="125">
        <v>46481</v>
      </c>
      <c r="L324" s="123">
        <f t="shared" ca="1" si="28"/>
        <v>46106</v>
      </c>
      <c r="M324" s="135">
        <v>36</v>
      </c>
      <c r="N324" s="150">
        <f t="shared" ca="1" si="29"/>
        <v>12.5</v>
      </c>
      <c r="O324" s="151">
        <f t="shared" ca="1" si="31"/>
        <v>0.34722222222222221</v>
      </c>
      <c r="P324" s="8"/>
      <c r="Q324" s="129"/>
      <c r="R324" s="144" t="s">
        <v>670</v>
      </c>
    </row>
    <row r="325" spans="1:18" ht="24.95" customHeight="1">
      <c r="A325" s="8" t="s">
        <v>640</v>
      </c>
      <c r="B325" s="8" t="s">
        <v>665</v>
      </c>
      <c r="C325" s="122" t="s">
        <v>641</v>
      </c>
      <c r="D325" s="122" t="s">
        <v>560</v>
      </c>
      <c r="E325" s="133" t="s">
        <v>477</v>
      </c>
      <c r="F325" s="134" t="str">
        <f t="shared" si="30"/>
        <v>GLAMRR Q</v>
      </c>
      <c r="G325" s="134">
        <v>2</v>
      </c>
      <c r="H325" s="134"/>
      <c r="I325" s="147">
        <f t="shared" si="32"/>
        <v>2</v>
      </c>
      <c r="J325" s="122" t="s">
        <v>539</v>
      </c>
      <c r="K325" s="5" t="s">
        <v>27</v>
      </c>
      <c r="L325" s="123" t="s">
        <v>27</v>
      </c>
      <c r="M325" s="123" t="s">
        <v>27</v>
      </c>
      <c r="N325" s="123" t="s">
        <v>27</v>
      </c>
      <c r="O325" s="123" t="s">
        <v>27</v>
      </c>
      <c r="P325" s="8"/>
      <c r="Q325" s="129"/>
      <c r="R325" s="144" t="s">
        <v>670</v>
      </c>
    </row>
    <row r="326" spans="1:18" ht="24.95" customHeight="1">
      <c r="A326" s="8" t="s">
        <v>640</v>
      </c>
      <c r="B326" s="8" t="s">
        <v>665</v>
      </c>
      <c r="C326" s="122" t="s">
        <v>641</v>
      </c>
      <c r="D326" s="122" t="s">
        <v>561</v>
      </c>
      <c r="E326" s="133" t="s">
        <v>285</v>
      </c>
      <c r="F326" s="134" t="str">
        <f t="shared" si="30"/>
        <v>GILAA</v>
      </c>
      <c r="G326" s="134">
        <v>2</v>
      </c>
      <c r="H326" s="134"/>
      <c r="I326" s="147">
        <f t="shared" si="32"/>
        <v>2</v>
      </c>
      <c r="J326" s="122" t="s">
        <v>562</v>
      </c>
      <c r="K326" s="5" t="s">
        <v>27</v>
      </c>
      <c r="L326" s="123" t="s">
        <v>27</v>
      </c>
      <c r="M326" s="123" t="s">
        <v>27</v>
      </c>
      <c r="N326" s="123" t="s">
        <v>27</v>
      </c>
      <c r="O326" s="123" t="s">
        <v>27</v>
      </c>
      <c r="P326" s="8"/>
      <c r="Q326" s="129"/>
      <c r="R326" s="144" t="s">
        <v>670</v>
      </c>
    </row>
    <row r="327" spans="1:18" ht="24.95" customHeight="1">
      <c r="A327" s="8" t="s">
        <v>640</v>
      </c>
      <c r="B327" s="8" t="s">
        <v>665</v>
      </c>
      <c r="C327" s="122" t="s">
        <v>641</v>
      </c>
      <c r="D327" s="122" t="s">
        <v>563</v>
      </c>
      <c r="E327" s="133" t="s">
        <v>344</v>
      </c>
      <c r="F327" s="134" t="str">
        <f t="shared" si="30"/>
        <v>GLAMRR Q</v>
      </c>
      <c r="G327" s="134">
        <v>21</v>
      </c>
      <c r="H327" s="134"/>
      <c r="I327" s="147">
        <f t="shared" si="32"/>
        <v>21</v>
      </c>
      <c r="J327" s="122" t="s">
        <v>538</v>
      </c>
      <c r="K327" s="125">
        <v>46313</v>
      </c>
      <c r="L327" s="123">
        <f t="shared" ref="L327:L338" ca="1" si="33">TODAY()</f>
        <v>46106</v>
      </c>
      <c r="M327" s="135">
        <v>36</v>
      </c>
      <c r="N327" s="150">
        <f t="shared" ref="N327:N338" ca="1" si="34">(K327-L327)/30</f>
        <v>6.9</v>
      </c>
      <c r="O327" s="151">
        <f t="shared" ca="1" si="31"/>
        <v>0.19166666666666668</v>
      </c>
      <c r="P327" s="8"/>
      <c r="Q327" s="129"/>
      <c r="R327" s="144" t="s">
        <v>670</v>
      </c>
    </row>
    <row r="328" spans="1:18" ht="24.95" customHeight="1">
      <c r="A328" s="8" t="s">
        <v>640</v>
      </c>
      <c r="B328" s="8" t="s">
        <v>665</v>
      </c>
      <c r="C328" s="122" t="s">
        <v>641</v>
      </c>
      <c r="D328" s="122" t="s">
        <v>564</v>
      </c>
      <c r="E328" s="133" t="s">
        <v>459</v>
      </c>
      <c r="F328" s="134" t="str">
        <f t="shared" si="30"/>
        <v>MEDIFORCELL</v>
      </c>
      <c r="G328" s="134">
        <v>1</v>
      </c>
      <c r="H328" s="134"/>
      <c r="I328" s="147">
        <f t="shared" si="32"/>
        <v>1</v>
      </c>
      <c r="J328" s="122" t="s">
        <v>538</v>
      </c>
      <c r="K328" s="125">
        <v>46803</v>
      </c>
      <c r="L328" s="123">
        <f t="shared" ca="1" si="33"/>
        <v>46106</v>
      </c>
      <c r="M328" s="135">
        <v>36</v>
      </c>
      <c r="N328" s="150">
        <f t="shared" ca="1" si="34"/>
        <v>23.233333333333334</v>
      </c>
      <c r="O328" s="151">
        <f t="shared" ca="1" si="31"/>
        <v>0.64537037037037037</v>
      </c>
      <c r="P328" s="8"/>
      <c r="Q328" s="129"/>
      <c r="R328" s="144" t="s">
        <v>670</v>
      </c>
    </row>
    <row r="329" spans="1:18" ht="24.95" customHeight="1">
      <c r="A329" s="8" t="s">
        <v>640</v>
      </c>
      <c r="B329" s="8" t="s">
        <v>665</v>
      </c>
      <c r="C329" s="122" t="s">
        <v>641</v>
      </c>
      <c r="D329" s="122" t="s">
        <v>565</v>
      </c>
      <c r="E329" s="133" t="s">
        <v>472</v>
      </c>
      <c r="F329" s="134" t="str">
        <f t="shared" si="30"/>
        <v>DE MEMORIA</v>
      </c>
      <c r="G329" s="134">
        <v>6</v>
      </c>
      <c r="H329" s="134"/>
      <c r="I329" s="147">
        <f t="shared" si="32"/>
        <v>6</v>
      </c>
      <c r="J329" s="122" t="s">
        <v>566</v>
      </c>
      <c r="K329" s="125">
        <v>46577</v>
      </c>
      <c r="L329" s="123">
        <f t="shared" ca="1" si="33"/>
        <v>46106</v>
      </c>
      <c r="M329" s="135">
        <v>36</v>
      </c>
      <c r="N329" s="150">
        <f t="shared" ca="1" si="34"/>
        <v>15.7</v>
      </c>
      <c r="O329" s="151">
        <f t="shared" ca="1" si="31"/>
        <v>0.43611111111111112</v>
      </c>
      <c r="P329" s="8"/>
      <c r="Q329" s="129"/>
      <c r="R329" s="144" t="s">
        <v>670</v>
      </c>
    </row>
    <row r="330" spans="1:18" ht="24.95" customHeight="1">
      <c r="A330" s="8" t="s">
        <v>640</v>
      </c>
      <c r="B330" s="8" t="s">
        <v>665</v>
      </c>
      <c r="C330" s="122" t="s">
        <v>641</v>
      </c>
      <c r="D330" s="122" t="s">
        <v>567</v>
      </c>
      <c r="E330" s="133" t="s">
        <v>475</v>
      </c>
      <c r="F330" s="134" t="str">
        <f t="shared" si="30"/>
        <v>GLAMRR Q</v>
      </c>
      <c r="G330" s="134">
        <v>1</v>
      </c>
      <c r="H330" s="134"/>
      <c r="I330" s="147">
        <f t="shared" si="32"/>
        <v>1</v>
      </c>
      <c r="J330" s="122" t="s">
        <v>539</v>
      </c>
      <c r="K330" s="125">
        <v>46972</v>
      </c>
      <c r="L330" s="123">
        <f t="shared" ca="1" si="33"/>
        <v>46106</v>
      </c>
      <c r="M330" s="135">
        <v>36</v>
      </c>
      <c r="N330" s="150">
        <f t="shared" ca="1" si="34"/>
        <v>28.866666666666667</v>
      </c>
      <c r="O330" s="151">
        <f t="shared" ca="1" si="31"/>
        <v>0.80185185185185182</v>
      </c>
      <c r="P330" s="8"/>
      <c r="Q330" s="129"/>
      <c r="R330" s="144" t="s">
        <v>670</v>
      </c>
    </row>
    <row r="331" spans="1:18" ht="24.95" customHeight="1">
      <c r="A331" s="8" t="s">
        <v>640</v>
      </c>
      <c r="B331" s="8" t="s">
        <v>665</v>
      </c>
      <c r="C331" s="122" t="s">
        <v>641</v>
      </c>
      <c r="D331" s="122" t="s">
        <v>568</v>
      </c>
      <c r="E331" s="133" t="s">
        <v>446</v>
      </c>
      <c r="F331" s="134" t="str">
        <f t="shared" si="30"/>
        <v>GLAMRR Q</v>
      </c>
      <c r="G331" s="134">
        <v>2</v>
      </c>
      <c r="H331" s="134"/>
      <c r="I331" s="147">
        <f t="shared" si="32"/>
        <v>2</v>
      </c>
      <c r="J331" s="122" t="s">
        <v>538</v>
      </c>
      <c r="K331" s="125">
        <v>46990</v>
      </c>
      <c r="L331" s="123">
        <f t="shared" ca="1" si="33"/>
        <v>46106</v>
      </c>
      <c r="M331" s="135">
        <v>36</v>
      </c>
      <c r="N331" s="150">
        <f t="shared" ca="1" si="34"/>
        <v>29.466666666666665</v>
      </c>
      <c r="O331" s="151">
        <f t="shared" ca="1" si="31"/>
        <v>0.81851851851851842</v>
      </c>
      <c r="P331" s="8"/>
      <c r="Q331" s="129"/>
      <c r="R331" s="144" t="s">
        <v>670</v>
      </c>
    </row>
    <row r="332" spans="1:18" ht="24.95" customHeight="1">
      <c r="A332" s="8" t="s">
        <v>640</v>
      </c>
      <c r="B332" s="8" t="s">
        <v>665</v>
      </c>
      <c r="C332" s="122" t="s">
        <v>641</v>
      </c>
      <c r="D332" s="122" t="s">
        <v>568</v>
      </c>
      <c r="E332" s="133" t="s">
        <v>446</v>
      </c>
      <c r="F332" s="134" t="str">
        <f t="shared" si="30"/>
        <v>GLAMRR Q</v>
      </c>
      <c r="G332" s="134">
        <v>1</v>
      </c>
      <c r="H332" s="134"/>
      <c r="I332" s="147">
        <f t="shared" si="32"/>
        <v>1</v>
      </c>
      <c r="J332" s="122" t="s">
        <v>538</v>
      </c>
      <c r="K332" s="125">
        <v>46934</v>
      </c>
      <c r="L332" s="123">
        <f t="shared" ca="1" si="33"/>
        <v>46106</v>
      </c>
      <c r="M332" s="135">
        <v>36</v>
      </c>
      <c r="N332" s="150">
        <f t="shared" ca="1" si="34"/>
        <v>27.6</v>
      </c>
      <c r="O332" s="151">
        <f t="shared" ca="1" si="31"/>
        <v>0.76666666666666672</v>
      </c>
      <c r="P332" s="8"/>
      <c r="Q332" s="129"/>
      <c r="R332" s="144" t="s">
        <v>670</v>
      </c>
    </row>
    <row r="333" spans="1:18" ht="24.95" customHeight="1">
      <c r="A333" s="8" t="s">
        <v>640</v>
      </c>
      <c r="B333" s="8" t="s">
        <v>665</v>
      </c>
      <c r="C333" s="122" t="s">
        <v>641</v>
      </c>
      <c r="D333" s="122" t="s">
        <v>568</v>
      </c>
      <c r="E333" s="133" t="s">
        <v>446</v>
      </c>
      <c r="F333" s="134" t="str">
        <f t="shared" si="30"/>
        <v>GLAMRR Q</v>
      </c>
      <c r="G333" s="134">
        <v>10</v>
      </c>
      <c r="H333" s="134">
        <v>1</v>
      </c>
      <c r="I333" s="147">
        <f t="shared" si="32"/>
        <v>9</v>
      </c>
      <c r="J333" s="122" t="s">
        <v>539</v>
      </c>
      <c r="K333" s="125">
        <v>46990</v>
      </c>
      <c r="L333" s="123">
        <f t="shared" ca="1" si="33"/>
        <v>46106</v>
      </c>
      <c r="M333" s="135">
        <v>36</v>
      </c>
      <c r="N333" s="150">
        <f t="shared" ca="1" si="34"/>
        <v>29.466666666666665</v>
      </c>
      <c r="O333" s="151">
        <f t="shared" ca="1" si="31"/>
        <v>0.81851851851851842</v>
      </c>
      <c r="P333" s="8"/>
      <c r="Q333" s="129" t="s">
        <v>645</v>
      </c>
      <c r="R333" s="144" t="s">
        <v>670</v>
      </c>
    </row>
    <row r="334" spans="1:18" ht="24.95" customHeight="1">
      <c r="A334" s="8" t="s">
        <v>640</v>
      </c>
      <c r="B334" s="8" t="s">
        <v>665</v>
      </c>
      <c r="C334" s="122" t="s">
        <v>641</v>
      </c>
      <c r="D334" s="122" t="s">
        <v>569</v>
      </c>
      <c r="E334" s="133" t="s">
        <v>449</v>
      </c>
      <c r="F334" s="134" t="str">
        <f t="shared" si="30"/>
        <v>GLAMRR Q</v>
      </c>
      <c r="G334" s="134">
        <v>3</v>
      </c>
      <c r="H334" s="134"/>
      <c r="I334" s="147">
        <f t="shared" si="32"/>
        <v>3</v>
      </c>
      <c r="J334" s="122" t="s">
        <v>538</v>
      </c>
      <c r="K334" s="125">
        <v>46934</v>
      </c>
      <c r="L334" s="123">
        <f t="shared" ca="1" si="33"/>
        <v>46106</v>
      </c>
      <c r="M334" s="135">
        <v>36</v>
      </c>
      <c r="N334" s="150">
        <f t="shared" ca="1" si="34"/>
        <v>27.6</v>
      </c>
      <c r="O334" s="151">
        <f t="shared" ca="1" si="31"/>
        <v>0.76666666666666672</v>
      </c>
      <c r="P334" s="8"/>
      <c r="Q334" s="129"/>
      <c r="R334" s="144" t="s">
        <v>670</v>
      </c>
    </row>
    <row r="335" spans="1:18" ht="24.95" customHeight="1">
      <c r="A335" s="8" t="s">
        <v>640</v>
      </c>
      <c r="B335" s="8" t="s">
        <v>665</v>
      </c>
      <c r="C335" s="122" t="s">
        <v>641</v>
      </c>
      <c r="D335" s="122" t="s">
        <v>569</v>
      </c>
      <c r="E335" s="133" t="s">
        <v>449</v>
      </c>
      <c r="F335" s="134" t="str">
        <f t="shared" si="30"/>
        <v>GLAMRR Q</v>
      </c>
      <c r="G335" s="134">
        <v>2</v>
      </c>
      <c r="H335" s="134">
        <v>1</v>
      </c>
      <c r="I335" s="147">
        <f t="shared" si="32"/>
        <v>1</v>
      </c>
      <c r="J335" s="122" t="s">
        <v>539</v>
      </c>
      <c r="K335" s="125">
        <v>46934</v>
      </c>
      <c r="L335" s="123">
        <f t="shared" ca="1" si="33"/>
        <v>46106</v>
      </c>
      <c r="M335" s="135">
        <v>36</v>
      </c>
      <c r="N335" s="150">
        <f t="shared" ca="1" si="34"/>
        <v>27.6</v>
      </c>
      <c r="O335" s="151">
        <f t="shared" ca="1" si="31"/>
        <v>0.76666666666666672</v>
      </c>
      <c r="P335" s="8"/>
      <c r="Q335" s="129" t="s">
        <v>645</v>
      </c>
      <c r="R335" s="144" t="s">
        <v>670</v>
      </c>
    </row>
    <row r="336" spans="1:18" ht="24.95" customHeight="1">
      <c r="A336" s="8" t="s">
        <v>640</v>
      </c>
      <c r="B336" s="8" t="s">
        <v>665</v>
      </c>
      <c r="C336" s="122" t="s">
        <v>641</v>
      </c>
      <c r="D336" s="122" t="s">
        <v>570</v>
      </c>
      <c r="E336" s="133" t="s">
        <v>352</v>
      </c>
      <c r="F336" s="134" t="str">
        <f t="shared" si="30"/>
        <v>GLAMRR Q</v>
      </c>
      <c r="G336" s="134">
        <v>1</v>
      </c>
      <c r="H336" s="134">
        <v>1</v>
      </c>
      <c r="I336" s="147">
        <f t="shared" si="32"/>
        <v>0</v>
      </c>
      <c r="J336" s="122" t="s">
        <v>538</v>
      </c>
      <c r="K336" s="126">
        <v>46982</v>
      </c>
      <c r="L336" s="123">
        <f t="shared" ca="1" si="33"/>
        <v>46106</v>
      </c>
      <c r="M336" s="135">
        <v>36</v>
      </c>
      <c r="N336" s="150">
        <f t="shared" ca="1" si="34"/>
        <v>29.2</v>
      </c>
      <c r="O336" s="151">
        <f t="shared" ca="1" si="31"/>
        <v>0.81111111111111112</v>
      </c>
      <c r="P336" s="8"/>
      <c r="Q336" s="129" t="s">
        <v>645</v>
      </c>
      <c r="R336" s="144" t="s">
        <v>670</v>
      </c>
    </row>
    <row r="337" spans="1:18" ht="24.95" customHeight="1">
      <c r="A337" s="8" t="s">
        <v>640</v>
      </c>
      <c r="B337" s="8" t="s">
        <v>665</v>
      </c>
      <c r="C337" s="122" t="s">
        <v>641</v>
      </c>
      <c r="D337" s="122" t="s">
        <v>571</v>
      </c>
      <c r="E337" s="133" t="s">
        <v>353</v>
      </c>
      <c r="F337" s="134" t="str">
        <f t="shared" si="30"/>
        <v>GLAMRR Q</v>
      </c>
      <c r="G337" s="134">
        <v>1</v>
      </c>
      <c r="H337" s="134">
        <v>1</v>
      </c>
      <c r="I337" s="147">
        <f t="shared" si="32"/>
        <v>0</v>
      </c>
      <c r="J337" s="122" t="s">
        <v>538</v>
      </c>
      <c r="K337" s="125">
        <v>46867</v>
      </c>
      <c r="L337" s="123">
        <f t="shared" ca="1" si="33"/>
        <v>46106</v>
      </c>
      <c r="M337" s="135">
        <v>36</v>
      </c>
      <c r="N337" s="150">
        <f t="shared" ca="1" si="34"/>
        <v>25.366666666666667</v>
      </c>
      <c r="O337" s="151">
        <f t="shared" ca="1" si="31"/>
        <v>0.70462962962962961</v>
      </c>
      <c r="P337" s="8"/>
      <c r="Q337" s="129" t="s">
        <v>645</v>
      </c>
      <c r="R337" s="144" t="s">
        <v>670</v>
      </c>
    </row>
    <row r="338" spans="1:18" ht="24.95" customHeight="1">
      <c r="A338" s="8" t="s">
        <v>640</v>
      </c>
      <c r="B338" s="8" t="s">
        <v>665</v>
      </c>
      <c r="C338" s="122" t="s">
        <v>641</v>
      </c>
      <c r="D338" s="122" t="s">
        <v>571</v>
      </c>
      <c r="E338" s="133" t="s">
        <v>353</v>
      </c>
      <c r="F338" s="134" t="str">
        <f t="shared" si="30"/>
        <v>GLAMRR Q</v>
      </c>
      <c r="G338" s="134">
        <v>1</v>
      </c>
      <c r="H338" s="134"/>
      <c r="I338" s="147">
        <f t="shared" si="32"/>
        <v>1</v>
      </c>
      <c r="J338" s="122" t="s">
        <v>562</v>
      </c>
      <c r="K338" s="126">
        <v>46867</v>
      </c>
      <c r="L338" s="123">
        <f t="shared" ca="1" si="33"/>
        <v>46106</v>
      </c>
      <c r="M338" s="135">
        <v>36</v>
      </c>
      <c r="N338" s="150">
        <f t="shared" ca="1" si="34"/>
        <v>25.366666666666667</v>
      </c>
      <c r="O338" s="151">
        <f t="shared" ca="1" si="31"/>
        <v>0.70462962962962961</v>
      </c>
      <c r="P338" s="8"/>
      <c r="Q338" s="129"/>
      <c r="R338" s="144" t="s">
        <v>670</v>
      </c>
    </row>
    <row r="339" spans="1:18" ht="24.95" customHeight="1">
      <c r="A339" s="8" t="s">
        <v>640</v>
      </c>
      <c r="B339" s="8" t="s">
        <v>665</v>
      </c>
      <c r="C339" s="122" t="s">
        <v>641</v>
      </c>
      <c r="D339" s="122" t="s">
        <v>572</v>
      </c>
      <c r="E339" s="133" t="s">
        <v>467</v>
      </c>
      <c r="F339" s="134" t="s">
        <v>573</v>
      </c>
      <c r="G339" s="134">
        <v>7</v>
      </c>
      <c r="H339" s="134"/>
      <c r="I339" s="147">
        <f t="shared" si="32"/>
        <v>7</v>
      </c>
      <c r="J339" s="122" t="s">
        <v>539</v>
      </c>
      <c r="K339" s="5" t="s">
        <v>27</v>
      </c>
      <c r="L339" s="123" t="s">
        <v>27</v>
      </c>
      <c r="M339" s="123" t="s">
        <v>27</v>
      </c>
      <c r="N339" s="123" t="s">
        <v>27</v>
      </c>
      <c r="O339" s="123" t="s">
        <v>27</v>
      </c>
      <c r="P339" s="8"/>
      <c r="Q339" s="129"/>
      <c r="R339" s="144" t="s">
        <v>670</v>
      </c>
    </row>
    <row r="340" spans="1:18" ht="24.95" customHeight="1">
      <c r="A340" s="8" t="s">
        <v>640</v>
      </c>
      <c r="B340" s="8" t="s">
        <v>665</v>
      </c>
      <c r="C340" s="122" t="s">
        <v>641</v>
      </c>
      <c r="D340" s="122" t="s">
        <v>572</v>
      </c>
      <c r="E340" s="133" t="s">
        <v>467</v>
      </c>
      <c r="F340" s="134" t="s">
        <v>573</v>
      </c>
      <c r="G340" s="134">
        <v>3</v>
      </c>
      <c r="H340" s="134"/>
      <c r="I340" s="147">
        <f t="shared" si="32"/>
        <v>3</v>
      </c>
      <c r="J340" s="122" t="s">
        <v>574</v>
      </c>
      <c r="K340" s="5" t="s">
        <v>27</v>
      </c>
      <c r="L340" s="123" t="s">
        <v>27</v>
      </c>
      <c r="M340" s="123" t="s">
        <v>27</v>
      </c>
      <c r="N340" s="123" t="s">
        <v>27</v>
      </c>
      <c r="O340" s="123" t="s">
        <v>27</v>
      </c>
      <c r="P340" s="8"/>
      <c r="Q340" s="129"/>
      <c r="R340" s="144" t="s">
        <v>670</v>
      </c>
    </row>
    <row r="341" spans="1:18" ht="24.95" customHeight="1">
      <c r="A341" s="8" t="s">
        <v>640</v>
      </c>
      <c r="B341" s="8" t="s">
        <v>665</v>
      </c>
      <c r="C341" s="122" t="s">
        <v>641</v>
      </c>
      <c r="D341" s="122" t="s">
        <v>575</v>
      </c>
      <c r="E341" s="133" t="s">
        <v>576</v>
      </c>
      <c r="F341" s="134" t="str">
        <f t="shared" si="30"/>
        <v>GLAMRR Q</v>
      </c>
      <c r="G341" s="134">
        <v>8</v>
      </c>
      <c r="H341" s="134"/>
      <c r="I341" s="147">
        <f t="shared" si="32"/>
        <v>8</v>
      </c>
      <c r="J341" s="122" t="s">
        <v>538</v>
      </c>
      <c r="K341" s="125">
        <v>46732</v>
      </c>
      <c r="L341" s="123">
        <f t="shared" ref="L341:L344" ca="1" si="35">TODAY()</f>
        <v>46106</v>
      </c>
      <c r="M341" s="135">
        <v>36</v>
      </c>
      <c r="N341" s="150">
        <f ca="1">(K341-L341)/30</f>
        <v>20.866666666666667</v>
      </c>
      <c r="O341" s="151">
        <f t="shared" ca="1" si="31"/>
        <v>0.57962962962962961</v>
      </c>
      <c r="P341" s="8"/>
      <c r="Q341" s="129"/>
      <c r="R341" s="144" t="s">
        <v>670</v>
      </c>
    </row>
    <row r="342" spans="1:18" ht="24.95" customHeight="1">
      <c r="A342" s="8" t="s">
        <v>640</v>
      </c>
      <c r="B342" s="8" t="s">
        <v>665</v>
      </c>
      <c r="C342" s="122" t="s">
        <v>641</v>
      </c>
      <c r="D342" s="122" t="s">
        <v>575</v>
      </c>
      <c r="E342" s="133" t="s">
        <v>576</v>
      </c>
      <c r="F342" s="134" t="str">
        <f t="shared" si="30"/>
        <v>GLAMRR Q</v>
      </c>
      <c r="G342" s="134">
        <v>3</v>
      </c>
      <c r="H342" s="134"/>
      <c r="I342" s="147">
        <f t="shared" si="32"/>
        <v>3</v>
      </c>
      <c r="J342" s="122" t="s">
        <v>539</v>
      </c>
      <c r="K342" s="125">
        <v>46732</v>
      </c>
      <c r="L342" s="123">
        <f t="shared" ca="1" si="35"/>
        <v>46106</v>
      </c>
      <c r="M342" s="135">
        <v>36</v>
      </c>
      <c r="N342" s="150">
        <f ca="1">(K342-L342)/30</f>
        <v>20.866666666666667</v>
      </c>
      <c r="O342" s="151">
        <f t="shared" ca="1" si="31"/>
        <v>0.57962962962962961</v>
      </c>
      <c r="P342" s="8"/>
      <c r="Q342" s="129"/>
      <c r="R342" s="144" t="s">
        <v>670</v>
      </c>
    </row>
    <row r="343" spans="1:18" ht="24.95" customHeight="1">
      <c r="A343" s="8" t="s">
        <v>640</v>
      </c>
      <c r="B343" s="8" t="s">
        <v>665</v>
      </c>
      <c r="C343" s="122" t="s">
        <v>641</v>
      </c>
      <c r="D343" s="122" t="s">
        <v>577</v>
      </c>
      <c r="E343" s="133" t="s">
        <v>578</v>
      </c>
      <c r="F343" s="134" t="str">
        <f t="shared" si="30"/>
        <v>GLAMRR Q</v>
      </c>
      <c r="G343" s="134">
        <v>16</v>
      </c>
      <c r="H343" s="134"/>
      <c r="I343" s="147">
        <f t="shared" si="32"/>
        <v>16</v>
      </c>
      <c r="J343" s="122" t="s">
        <v>539</v>
      </c>
      <c r="K343" s="125">
        <v>46736</v>
      </c>
      <c r="L343" s="123">
        <f t="shared" ca="1" si="35"/>
        <v>46106</v>
      </c>
      <c r="M343" s="135">
        <v>36</v>
      </c>
      <c r="N343" s="150">
        <f ca="1">(K343-L343)/30</f>
        <v>21</v>
      </c>
      <c r="O343" s="151">
        <f t="shared" ca="1" si="31"/>
        <v>0.58333333333333337</v>
      </c>
      <c r="P343" s="8"/>
      <c r="Q343" s="129"/>
      <c r="R343" s="144" t="s">
        <v>670</v>
      </c>
    </row>
    <row r="344" spans="1:18" ht="24.95" customHeight="1">
      <c r="A344" s="8" t="s">
        <v>640</v>
      </c>
      <c r="B344" s="8" t="s">
        <v>665</v>
      </c>
      <c r="C344" s="122" t="s">
        <v>641</v>
      </c>
      <c r="D344" s="122" t="s">
        <v>579</v>
      </c>
      <c r="E344" s="133" t="s">
        <v>489</v>
      </c>
      <c r="F344" s="134" t="str">
        <f t="shared" si="30"/>
        <v>GLAMRR Q</v>
      </c>
      <c r="G344" s="134">
        <v>1</v>
      </c>
      <c r="H344" s="134"/>
      <c r="I344" s="147">
        <f t="shared" si="32"/>
        <v>1</v>
      </c>
      <c r="J344" s="122" t="s">
        <v>562</v>
      </c>
      <c r="K344" s="125">
        <v>47025</v>
      </c>
      <c r="L344" s="123">
        <f t="shared" ca="1" si="35"/>
        <v>46106</v>
      </c>
      <c r="M344" s="135">
        <v>36</v>
      </c>
      <c r="N344" s="150">
        <f ca="1">(K344-L344)/30</f>
        <v>30.633333333333333</v>
      </c>
      <c r="O344" s="151">
        <f t="shared" ca="1" si="31"/>
        <v>0.85092592592592586</v>
      </c>
      <c r="P344" s="8"/>
      <c r="Q344" s="129"/>
      <c r="R344" s="144" t="s">
        <v>670</v>
      </c>
    </row>
    <row r="345" spans="1:18" ht="24.95" customHeight="1">
      <c r="A345" s="8" t="s">
        <v>640</v>
      </c>
      <c r="B345" s="8" t="s">
        <v>665</v>
      </c>
      <c r="C345" s="122" t="s">
        <v>641</v>
      </c>
      <c r="D345" s="122" t="s">
        <v>580</v>
      </c>
      <c r="E345" s="133" t="s">
        <v>457</v>
      </c>
      <c r="F345" s="134" t="s">
        <v>573</v>
      </c>
      <c r="G345" s="134">
        <v>1</v>
      </c>
      <c r="H345" s="134"/>
      <c r="I345" s="147">
        <f t="shared" si="32"/>
        <v>1</v>
      </c>
      <c r="J345" s="122" t="s">
        <v>562</v>
      </c>
      <c r="K345" s="5" t="s">
        <v>27</v>
      </c>
      <c r="L345" s="123" t="s">
        <v>27</v>
      </c>
      <c r="M345" s="123" t="s">
        <v>27</v>
      </c>
      <c r="N345" s="123" t="s">
        <v>27</v>
      </c>
      <c r="O345" s="123" t="s">
        <v>27</v>
      </c>
      <c r="P345" s="8"/>
      <c r="Q345" s="129"/>
      <c r="R345" s="144" t="s">
        <v>670</v>
      </c>
    </row>
    <row r="346" spans="1:18" ht="24.95" customHeight="1">
      <c r="A346" s="8" t="s">
        <v>640</v>
      </c>
      <c r="B346" s="8" t="s">
        <v>665</v>
      </c>
      <c r="C346" s="122" t="s">
        <v>641</v>
      </c>
      <c r="D346" s="122" t="s">
        <v>581</v>
      </c>
      <c r="E346" s="133" t="s">
        <v>458</v>
      </c>
      <c r="F346" s="134" t="s">
        <v>573</v>
      </c>
      <c r="G346" s="134">
        <v>4</v>
      </c>
      <c r="H346" s="134"/>
      <c r="I346" s="147">
        <f t="shared" si="32"/>
        <v>4</v>
      </c>
      <c r="J346" s="122" t="s">
        <v>562</v>
      </c>
      <c r="K346" s="5" t="s">
        <v>27</v>
      </c>
      <c r="L346" s="123" t="s">
        <v>27</v>
      </c>
      <c r="M346" s="123" t="s">
        <v>27</v>
      </c>
      <c r="N346" s="123" t="s">
        <v>27</v>
      </c>
      <c r="O346" s="123" t="s">
        <v>27</v>
      </c>
      <c r="P346" s="8"/>
      <c r="Q346" s="129"/>
      <c r="R346" s="144" t="s">
        <v>670</v>
      </c>
    </row>
    <row r="347" spans="1:18" ht="24.95" customHeight="1">
      <c r="A347" s="8" t="s">
        <v>640</v>
      </c>
      <c r="B347" s="8" t="s">
        <v>665</v>
      </c>
      <c r="C347" s="122" t="s">
        <v>641</v>
      </c>
      <c r="D347" s="122" t="s">
        <v>582</v>
      </c>
      <c r="E347" s="133" t="s">
        <v>469</v>
      </c>
      <c r="F347" s="134" t="str">
        <f t="shared" si="30"/>
        <v>DAOIDA</v>
      </c>
      <c r="G347" s="134">
        <v>1</v>
      </c>
      <c r="H347" s="134"/>
      <c r="I347" s="147">
        <f t="shared" si="32"/>
        <v>1</v>
      </c>
      <c r="J347" s="122" t="s">
        <v>583</v>
      </c>
      <c r="K347" s="5" t="s">
        <v>27</v>
      </c>
      <c r="L347" s="123" t="s">
        <v>27</v>
      </c>
      <c r="M347" s="123" t="s">
        <v>27</v>
      </c>
      <c r="N347" s="123" t="s">
        <v>27</v>
      </c>
      <c r="O347" s="123" t="s">
        <v>27</v>
      </c>
      <c r="P347" s="8"/>
      <c r="Q347" s="129"/>
      <c r="R347" s="144" t="s">
        <v>670</v>
      </c>
    </row>
    <row r="348" spans="1:18" ht="24.95" customHeight="1">
      <c r="A348" s="8" t="s">
        <v>640</v>
      </c>
      <c r="B348" s="8" t="s">
        <v>665</v>
      </c>
      <c r="C348" s="122" t="s">
        <v>641</v>
      </c>
      <c r="D348" s="122" t="s">
        <v>582</v>
      </c>
      <c r="E348" s="133" t="s">
        <v>469</v>
      </c>
      <c r="F348" s="134" t="str">
        <f t="shared" si="30"/>
        <v>DAOIDA</v>
      </c>
      <c r="G348" s="134">
        <v>1</v>
      </c>
      <c r="H348" s="134"/>
      <c r="I348" s="147">
        <f t="shared" si="32"/>
        <v>1</v>
      </c>
      <c r="J348" s="122" t="s">
        <v>562</v>
      </c>
      <c r="K348" s="5" t="s">
        <v>27</v>
      </c>
      <c r="L348" s="123" t="s">
        <v>27</v>
      </c>
      <c r="M348" s="123" t="s">
        <v>27</v>
      </c>
      <c r="N348" s="123" t="s">
        <v>27</v>
      </c>
      <c r="O348" s="123" t="s">
        <v>27</v>
      </c>
      <c r="P348" s="8"/>
      <c r="Q348" s="129"/>
      <c r="R348" s="144" t="s">
        <v>670</v>
      </c>
    </row>
    <row r="349" spans="1:18" ht="24.95" customHeight="1">
      <c r="A349" s="8" t="s">
        <v>640</v>
      </c>
      <c r="B349" s="8" t="s">
        <v>665</v>
      </c>
      <c r="C349" s="122" t="s">
        <v>641</v>
      </c>
      <c r="D349" s="122" t="s">
        <v>584</v>
      </c>
      <c r="E349" s="133" t="s">
        <v>585</v>
      </c>
      <c r="F349" s="134" t="str">
        <f t="shared" si="30"/>
        <v>MEDIFORCELL</v>
      </c>
      <c r="G349" s="134">
        <v>1</v>
      </c>
      <c r="H349" s="134"/>
      <c r="I349" s="147">
        <f t="shared" si="32"/>
        <v>1</v>
      </c>
      <c r="J349" s="122" t="s">
        <v>538</v>
      </c>
      <c r="K349" s="125">
        <v>46796</v>
      </c>
      <c r="L349" s="123">
        <f t="shared" ref="L349:L389" ca="1" si="36">TODAY()</f>
        <v>46106</v>
      </c>
      <c r="M349" s="135">
        <v>36</v>
      </c>
      <c r="N349" s="150">
        <f t="shared" ref="N349:N389" ca="1" si="37">(K349-L349)/30</f>
        <v>23</v>
      </c>
      <c r="O349" s="151">
        <f t="shared" ca="1" si="31"/>
        <v>0.63888888888888884</v>
      </c>
      <c r="P349" s="8"/>
      <c r="Q349" s="129"/>
      <c r="R349" s="144" t="s">
        <v>670</v>
      </c>
    </row>
    <row r="350" spans="1:18" ht="24.95" customHeight="1">
      <c r="A350" s="8" t="s">
        <v>640</v>
      </c>
      <c r="B350" s="8" t="s">
        <v>665</v>
      </c>
      <c r="C350" s="122" t="s">
        <v>641</v>
      </c>
      <c r="D350" s="122" t="s">
        <v>586</v>
      </c>
      <c r="E350" s="133" t="s">
        <v>113</v>
      </c>
      <c r="F350" s="134" t="str">
        <f t="shared" si="30"/>
        <v>DE MEMORIA</v>
      </c>
      <c r="G350" s="136">
        <v>3</v>
      </c>
      <c r="H350" s="134"/>
      <c r="I350" s="147">
        <f t="shared" si="32"/>
        <v>3</v>
      </c>
      <c r="J350" s="122" t="s">
        <v>539</v>
      </c>
      <c r="K350" s="125">
        <v>46401</v>
      </c>
      <c r="L350" s="123">
        <f t="shared" ca="1" si="36"/>
        <v>46106</v>
      </c>
      <c r="M350" s="135">
        <v>36</v>
      </c>
      <c r="N350" s="150">
        <f t="shared" ca="1" si="37"/>
        <v>9.8333333333333339</v>
      </c>
      <c r="O350" s="151">
        <f t="shared" ca="1" si="31"/>
        <v>0.27314814814814814</v>
      </c>
      <c r="P350" s="8"/>
      <c r="Q350" s="129"/>
      <c r="R350" s="144" t="s">
        <v>670</v>
      </c>
    </row>
    <row r="351" spans="1:18" ht="24.95" customHeight="1">
      <c r="A351" s="8" t="s">
        <v>640</v>
      </c>
      <c r="B351" s="8" t="s">
        <v>665</v>
      </c>
      <c r="C351" s="122" t="s">
        <v>641</v>
      </c>
      <c r="D351" s="122" t="s">
        <v>587</v>
      </c>
      <c r="E351" s="133" t="s">
        <v>112</v>
      </c>
      <c r="F351" s="134" t="str">
        <f t="shared" si="30"/>
        <v>DE MEMORIA</v>
      </c>
      <c r="G351" s="136">
        <v>1</v>
      </c>
      <c r="H351" s="134"/>
      <c r="I351" s="147">
        <f t="shared" si="32"/>
        <v>1</v>
      </c>
      <c r="J351" s="122" t="s">
        <v>588</v>
      </c>
      <c r="K351" s="125">
        <v>46068</v>
      </c>
      <c r="L351" s="123">
        <f t="shared" ca="1" si="36"/>
        <v>46106</v>
      </c>
      <c r="M351" s="135">
        <v>36</v>
      </c>
      <c r="N351" s="150">
        <f t="shared" ca="1" si="37"/>
        <v>-1.2666666666666666</v>
      </c>
      <c r="O351" s="151">
        <f t="shared" ca="1" si="31"/>
        <v>-3.518518518518518E-2</v>
      </c>
      <c r="P351" s="8"/>
      <c r="Q351" s="129"/>
      <c r="R351" s="144" t="s">
        <v>670</v>
      </c>
    </row>
    <row r="352" spans="1:18" ht="24.95" customHeight="1">
      <c r="A352" s="8" t="s">
        <v>640</v>
      </c>
      <c r="B352" s="8" t="s">
        <v>665</v>
      </c>
      <c r="C352" s="122" t="s">
        <v>641</v>
      </c>
      <c r="D352" s="122" t="s">
        <v>589</v>
      </c>
      <c r="E352" s="133" t="s">
        <v>201</v>
      </c>
      <c r="F352" s="134" t="str">
        <f t="shared" si="30"/>
        <v>DE MEMORIA</v>
      </c>
      <c r="G352" s="134">
        <v>1</v>
      </c>
      <c r="H352" s="134"/>
      <c r="I352" s="147">
        <f t="shared" si="32"/>
        <v>1</v>
      </c>
      <c r="J352" s="122" t="s">
        <v>562</v>
      </c>
      <c r="K352" s="125">
        <v>46177</v>
      </c>
      <c r="L352" s="123">
        <f t="shared" ca="1" si="36"/>
        <v>46106</v>
      </c>
      <c r="M352" s="135">
        <v>36</v>
      </c>
      <c r="N352" s="150">
        <f t="shared" ca="1" si="37"/>
        <v>2.3666666666666667</v>
      </c>
      <c r="O352" s="151">
        <f t="shared" ca="1" si="31"/>
        <v>6.5740740740740738E-2</v>
      </c>
      <c r="P352" s="8"/>
      <c r="Q352" s="129"/>
      <c r="R352" s="144" t="s">
        <v>670</v>
      </c>
    </row>
    <row r="353" spans="1:18" ht="24.95" customHeight="1">
      <c r="A353" s="8" t="s">
        <v>640</v>
      </c>
      <c r="B353" s="8" t="s">
        <v>665</v>
      </c>
      <c r="C353" s="122" t="s">
        <v>641</v>
      </c>
      <c r="D353" s="122" t="s">
        <v>590</v>
      </c>
      <c r="E353" s="133" t="s">
        <v>114</v>
      </c>
      <c r="F353" s="134" t="str">
        <f t="shared" si="30"/>
        <v>DE MEMORIA</v>
      </c>
      <c r="G353" s="136">
        <v>5</v>
      </c>
      <c r="H353" s="134"/>
      <c r="I353" s="147">
        <f t="shared" si="32"/>
        <v>5</v>
      </c>
      <c r="J353" s="122" t="s">
        <v>539</v>
      </c>
      <c r="K353" s="125">
        <v>46355</v>
      </c>
      <c r="L353" s="123">
        <f t="shared" ca="1" si="36"/>
        <v>46106</v>
      </c>
      <c r="M353" s="135">
        <v>36</v>
      </c>
      <c r="N353" s="150">
        <f t="shared" ca="1" si="37"/>
        <v>8.3000000000000007</v>
      </c>
      <c r="O353" s="151">
        <f t="shared" ca="1" si="31"/>
        <v>0.23055555555555557</v>
      </c>
      <c r="P353" s="8"/>
      <c r="Q353" s="129"/>
      <c r="R353" s="144" t="s">
        <v>670</v>
      </c>
    </row>
    <row r="354" spans="1:18" ht="24.95" customHeight="1">
      <c r="A354" s="8" t="s">
        <v>640</v>
      </c>
      <c r="B354" s="8" t="s">
        <v>665</v>
      </c>
      <c r="C354" s="122" t="s">
        <v>641</v>
      </c>
      <c r="D354" s="122" t="s">
        <v>590</v>
      </c>
      <c r="E354" s="133" t="s">
        <v>114</v>
      </c>
      <c r="F354" s="134" t="str">
        <f t="shared" si="30"/>
        <v>DE MEMORIA</v>
      </c>
      <c r="G354" s="136">
        <v>2</v>
      </c>
      <c r="H354" s="134"/>
      <c r="I354" s="147">
        <f t="shared" si="32"/>
        <v>2</v>
      </c>
      <c r="J354" s="122" t="s">
        <v>539</v>
      </c>
      <c r="K354" s="125">
        <v>46401</v>
      </c>
      <c r="L354" s="123">
        <f t="shared" ca="1" si="36"/>
        <v>46106</v>
      </c>
      <c r="M354" s="135">
        <v>36</v>
      </c>
      <c r="N354" s="150">
        <f t="shared" ca="1" si="37"/>
        <v>9.8333333333333339</v>
      </c>
      <c r="O354" s="151">
        <f t="shared" ca="1" si="31"/>
        <v>0.27314814814814814</v>
      </c>
      <c r="P354" s="8"/>
      <c r="Q354" s="129"/>
      <c r="R354" s="144" t="s">
        <v>670</v>
      </c>
    </row>
    <row r="355" spans="1:18" ht="24.95" customHeight="1">
      <c r="A355" s="8" t="s">
        <v>640</v>
      </c>
      <c r="B355" s="8" t="s">
        <v>665</v>
      </c>
      <c r="C355" s="122" t="s">
        <v>641</v>
      </c>
      <c r="D355" s="122" t="s">
        <v>591</v>
      </c>
      <c r="E355" s="133" t="s">
        <v>111</v>
      </c>
      <c r="F355" s="134" t="str">
        <f t="shared" si="30"/>
        <v>DE MEMORIA</v>
      </c>
      <c r="G355" s="136">
        <v>3</v>
      </c>
      <c r="H355" s="134"/>
      <c r="I355" s="147">
        <f t="shared" si="32"/>
        <v>3</v>
      </c>
      <c r="J355" s="122" t="s">
        <v>539</v>
      </c>
      <c r="K355" s="125">
        <v>46264</v>
      </c>
      <c r="L355" s="123">
        <f t="shared" ca="1" si="36"/>
        <v>46106</v>
      </c>
      <c r="M355" s="135">
        <v>36</v>
      </c>
      <c r="N355" s="150">
        <f t="shared" ca="1" si="37"/>
        <v>5.2666666666666666</v>
      </c>
      <c r="O355" s="151">
        <f t="shared" ca="1" si="31"/>
        <v>0.14629629629629629</v>
      </c>
      <c r="P355" s="8"/>
      <c r="Q355" s="129"/>
      <c r="R355" s="144" t="s">
        <v>670</v>
      </c>
    </row>
    <row r="356" spans="1:18" ht="24.95" customHeight="1">
      <c r="A356" s="8" t="s">
        <v>640</v>
      </c>
      <c r="B356" s="8" t="s">
        <v>665</v>
      </c>
      <c r="C356" s="122" t="s">
        <v>641</v>
      </c>
      <c r="D356" s="122" t="s">
        <v>591</v>
      </c>
      <c r="E356" s="133" t="s">
        <v>111</v>
      </c>
      <c r="F356" s="134" t="str">
        <f t="shared" si="30"/>
        <v>DE MEMORIA</v>
      </c>
      <c r="G356" s="136">
        <v>10</v>
      </c>
      <c r="H356" s="134"/>
      <c r="I356" s="147">
        <f t="shared" si="32"/>
        <v>10</v>
      </c>
      <c r="J356" s="122" t="s">
        <v>539</v>
      </c>
      <c r="K356" s="125">
        <v>46415</v>
      </c>
      <c r="L356" s="123">
        <f t="shared" ca="1" si="36"/>
        <v>46106</v>
      </c>
      <c r="M356" s="135">
        <v>36</v>
      </c>
      <c r="N356" s="150">
        <f t="shared" ca="1" si="37"/>
        <v>10.3</v>
      </c>
      <c r="O356" s="151">
        <f t="shared" ca="1" si="31"/>
        <v>0.28611111111111115</v>
      </c>
      <c r="P356" s="8"/>
      <c r="Q356" s="129"/>
      <c r="R356" s="144" t="s">
        <v>670</v>
      </c>
    </row>
    <row r="357" spans="1:18" ht="24.95" customHeight="1">
      <c r="A357" s="8" t="s">
        <v>640</v>
      </c>
      <c r="B357" s="8" t="s">
        <v>665</v>
      </c>
      <c r="C357" s="122" t="s">
        <v>641</v>
      </c>
      <c r="D357" s="122" t="s">
        <v>592</v>
      </c>
      <c r="E357" s="133" t="s">
        <v>342</v>
      </c>
      <c r="F357" s="134" t="str">
        <f t="shared" si="30"/>
        <v>GLAMRR Q</v>
      </c>
      <c r="G357" s="136">
        <v>5</v>
      </c>
      <c r="H357" s="134"/>
      <c r="I357" s="147">
        <f t="shared" si="32"/>
        <v>5</v>
      </c>
      <c r="J357" s="122" t="s">
        <v>593</v>
      </c>
      <c r="K357" s="125">
        <v>46106</v>
      </c>
      <c r="L357" s="123">
        <f t="shared" ca="1" si="36"/>
        <v>46106</v>
      </c>
      <c r="M357" s="135">
        <v>30</v>
      </c>
      <c r="N357" s="150">
        <f t="shared" ca="1" si="37"/>
        <v>0</v>
      </c>
      <c r="O357" s="151">
        <f t="shared" ca="1" si="31"/>
        <v>0</v>
      </c>
      <c r="P357" s="8"/>
      <c r="Q357" s="129"/>
      <c r="R357" s="144" t="s">
        <v>670</v>
      </c>
    </row>
    <row r="358" spans="1:18" ht="24.95" customHeight="1">
      <c r="A358" s="8" t="s">
        <v>640</v>
      </c>
      <c r="B358" s="8" t="s">
        <v>665</v>
      </c>
      <c r="C358" s="122" t="s">
        <v>641</v>
      </c>
      <c r="D358" s="122" t="s">
        <v>594</v>
      </c>
      <c r="E358" s="133" t="s">
        <v>367</v>
      </c>
      <c r="F358" s="134" t="str">
        <f t="shared" si="30"/>
        <v>MUDE</v>
      </c>
      <c r="G358" s="134">
        <v>15</v>
      </c>
      <c r="H358" s="134"/>
      <c r="I358" s="147">
        <f t="shared" si="32"/>
        <v>15</v>
      </c>
      <c r="J358" s="122" t="s">
        <v>562</v>
      </c>
      <c r="K358" s="125">
        <v>46298</v>
      </c>
      <c r="L358" s="123">
        <f t="shared" ca="1" si="36"/>
        <v>46106</v>
      </c>
      <c r="M358" s="135">
        <v>36</v>
      </c>
      <c r="N358" s="150">
        <f t="shared" ca="1" si="37"/>
        <v>6.4</v>
      </c>
      <c r="O358" s="151">
        <f t="shared" ca="1" si="31"/>
        <v>0.17777777777777778</v>
      </c>
      <c r="P358" s="8"/>
      <c r="Q358" s="129"/>
      <c r="R358" s="144" t="s">
        <v>670</v>
      </c>
    </row>
    <row r="359" spans="1:18" ht="24.95" customHeight="1">
      <c r="A359" s="8" t="s">
        <v>640</v>
      </c>
      <c r="B359" s="8" t="s">
        <v>665</v>
      </c>
      <c r="C359" s="122" t="s">
        <v>641</v>
      </c>
      <c r="D359" s="122" t="s">
        <v>595</v>
      </c>
      <c r="E359" s="133" t="s">
        <v>368</v>
      </c>
      <c r="F359" s="134" t="str">
        <f t="shared" si="30"/>
        <v>MUDE</v>
      </c>
      <c r="G359" s="134">
        <v>3</v>
      </c>
      <c r="H359" s="134"/>
      <c r="I359" s="147">
        <f t="shared" si="32"/>
        <v>3</v>
      </c>
      <c r="J359" s="122" t="s">
        <v>562</v>
      </c>
      <c r="K359" s="125">
        <v>46774</v>
      </c>
      <c r="L359" s="123">
        <f t="shared" ca="1" si="36"/>
        <v>46106</v>
      </c>
      <c r="M359" s="135">
        <v>36</v>
      </c>
      <c r="N359" s="150">
        <f t="shared" ca="1" si="37"/>
        <v>22.266666666666666</v>
      </c>
      <c r="O359" s="151">
        <f t="shared" ca="1" si="31"/>
        <v>0.61851851851851847</v>
      </c>
      <c r="P359" s="8"/>
      <c r="Q359" s="129"/>
      <c r="R359" s="144" t="s">
        <v>670</v>
      </c>
    </row>
    <row r="360" spans="1:18" ht="24.95" customHeight="1">
      <c r="A360" s="8" t="s">
        <v>640</v>
      </c>
      <c r="B360" s="8" t="s">
        <v>665</v>
      </c>
      <c r="C360" s="122" t="s">
        <v>641</v>
      </c>
      <c r="D360" s="122" t="s">
        <v>596</v>
      </c>
      <c r="E360" s="133" t="s">
        <v>370</v>
      </c>
      <c r="F360" s="134" t="str">
        <f t="shared" si="30"/>
        <v>MUDE</v>
      </c>
      <c r="G360" s="134">
        <v>6</v>
      </c>
      <c r="H360" s="134"/>
      <c r="I360" s="147">
        <f t="shared" si="32"/>
        <v>6</v>
      </c>
      <c r="J360" s="122" t="s">
        <v>562</v>
      </c>
      <c r="K360" s="125">
        <v>46299</v>
      </c>
      <c r="L360" s="123">
        <f t="shared" ca="1" si="36"/>
        <v>46106</v>
      </c>
      <c r="M360" s="135">
        <v>36</v>
      </c>
      <c r="N360" s="150">
        <f t="shared" ca="1" si="37"/>
        <v>6.4333333333333336</v>
      </c>
      <c r="O360" s="151">
        <f t="shared" ca="1" si="31"/>
        <v>0.1787037037037037</v>
      </c>
      <c r="P360" s="8"/>
      <c r="Q360" s="129"/>
      <c r="R360" s="144" t="s">
        <v>670</v>
      </c>
    </row>
    <row r="361" spans="1:18" ht="24.95" customHeight="1">
      <c r="A361" s="8" t="s">
        <v>640</v>
      </c>
      <c r="B361" s="8" t="s">
        <v>665</v>
      </c>
      <c r="C361" s="122" t="s">
        <v>641</v>
      </c>
      <c r="D361" s="122" t="s">
        <v>68</v>
      </c>
      <c r="E361" s="133" t="s">
        <v>23</v>
      </c>
      <c r="F361" s="134" t="str">
        <f t="shared" si="30"/>
        <v>GLAMRR Q</v>
      </c>
      <c r="G361" s="134">
        <v>1</v>
      </c>
      <c r="H361" s="134">
        <v>1</v>
      </c>
      <c r="I361" s="147">
        <f t="shared" si="32"/>
        <v>0</v>
      </c>
      <c r="J361" s="122" t="s">
        <v>562</v>
      </c>
      <c r="K361" s="125">
        <v>46121</v>
      </c>
      <c r="L361" s="123">
        <f t="shared" ca="1" si="36"/>
        <v>46106</v>
      </c>
      <c r="M361" s="135">
        <v>36</v>
      </c>
      <c r="N361" s="150">
        <f t="shared" ca="1" si="37"/>
        <v>0.5</v>
      </c>
      <c r="O361" s="151">
        <f t="shared" ca="1" si="31"/>
        <v>1.3888888888888888E-2</v>
      </c>
      <c r="P361" s="8"/>
      <c r="Q361" s="129" t="s">
        <v>645</v>
      </c>
      <c r="R361" s="144" t="s">
        <v>670</v>
      </c>
    </row>
    <row r="362" spans="1:18" ht="24.95" customHeight="1">
      <c r="A362" s="8" t="s">
        <v>640</v>
      </c>
      <c r="B362" s="8" t="s">
        <v>665</v>
      </c>
      <c r="C362" s="122" t="s">
        <v>641</v>
      </c>
      <c r="D362" s="122" t="s">
        <v>68</v>
      </c>
      <c r="E362" s="133" t="s">
        <v>23</v>
      </c>
      <c r="F362" s="134" t="str">
        <f t="shared" si="30"/>
        <v>GLAMRR Q</v>
      </c>
      <c r="G362" s="134">
        <v>1</v>
      </c>
      <c r="H362" s="134">
        <v>1</v>
      </c>
      <c r="I362" s="147">
        <f t="shared" si="32"/>
        <v>0</v>
      </c>
      <c r="J362" s="122" t="s">
        <v>562</v>
      </c>
      <c r="K362" s="125">
        <v>46339</v>
      </c>
      <c r="L362" s="123">
        <f t="shared" ca="1" si="36"/>
        <v>46106</v>
      </c>
      <c r="M362" s="135">
        <v>36</v>
      </c>
      <c r="N362" s="150">
        <f t="shared" ca="1" si="37"/>
        <v>7.7666666666666666</v>
      </c>
      <c r="O362" s="151">
        <f t="shared" ca="1" si="31"/>
        <v>0.21574074074074073</v>
      </c>
      <c r="P362" s="8"/>
      <c r="Q362" s="129" t="s">
        <v>645</v>
      </c>
      <c r="R362" s="144" t="s">
        <v>670</v>
      </c>
    </row>
    <row r="363" spans="1:18" ht="24.95" customHeight="1">
      <c r="A363" s="8" t="s">
        <v>640</v>
      </c>
      <c r="B363" s="8" t="s">
        <v>665</v>
      </c>
      <c r="C363" s="122" t="s">
        <v>641</v>
      </c>
      <c r="D363" s="122" t="s">
        <v>68</v>
      </c>
      <c r="E363" s="133" t="s">
        <v>23</v>
      </c>
      <c r="F363" s="134" t="str">
        <f t="shared" si="30"/>
        <v>GLAMRR Q</v>
      </c>
      <c r="G363" s="134">
        <v>2</v>
      </c>
      <c r="H363" s="134"/>
      <c r="I363" s="147">
        <f t="shared" si="32"/>
        <v>2</v>
      </c>
      <c r="J363" s="122" t="s">
        <v>562</v>
      </c>
      <c r="K363" s="125">
        <v>46398</v>
      </c>
      <c r="L363" s="123">
        <f t="shared" ca="1" si="36"/>
        <v>46106</v>
      </c>
      <c r="M363" s="135">
        <v>36</v>
      </c>
      <c r="N363" s="150">
        <f t="shared" ca="1" si="37"/>
        <v>9.7333333333333325</v>
      </c>
      <c r="O363" s="151">
        <f t="shared" ca="1" si="31"/>
        <v>0.27037037037037037</v>
      </c>
      <c r="P363" s="8"/>
      <c r="Q363" s="129"/>
      <c r="R363" s="144" t="s">
        <v>670</v>
      </c>
    </row>
    <row r="364" spans="1:18" ht="24.95" customHeight="1">
      <c r="A364" s="8" t="s">
        <v>640</v>
      </c>
      <c r="B364" s="8" t="s">
        <v>665</v>
      </c>
      <c r="C364" s="122" t="s">
        <v>641</v>
      </c>
      <c r="D364" s="122" t="s">
        <v>68</v>
      </c>
      <c r="E364" s="133" t="s">
        <v>23</v>
      </c>
      <c r="F364" s="134" t="str">
        <f t="shared" si="30"/>
        <v>GLAMRR Q</v>
      </c>
      <c r="G364" s="134">
        <v>1</v>
      </c>
      <c r="H364" s="134"/>
      <c r="I364" s="147">
        <f t="shared" si="32"/>
        <v>1</v>
      </c>
      <c r="J364" s="122" t="s">
        <v>562</v>
      </c>
      <c r="K364" s="126">
        <v>46494</v>
      </c>
      <c r="L364" s="123">
        <f t="shared" ca="1" si="36"/>
        <v>46106</v>
      </c>
      <c r="M364" s="135">
        <v>36</v>
      </c>
      <c r="N364" s="150">
        <f t="shared" ca="1" si="37"/>
        <v>12.933333333333334</v>
      </c>
      <c r="O364" s="151">
        <f t="shared" ca="1" si="31"/>
        <v>0.35925925925925928</v>
      </c>
      <c r="P364" s="8"/>
      <c r="Q364" s="129"/>
      <c r="R364" s="144" t="s">
        <v>670</v>
      </c>
    </row>
    <row r="365" spans="1:18" ht="24.95" customHeight="1">
      <c r="A365" s="8" t="s">
        <v>640</v>
      </c>
      <c r="B365" s="8" t="s">
        <v>665</v>
      </c>
      <c r="C365" s="122" t="s">
        <v>641</v>
      </c>
      <c r="D365" s="122" t="s">
        <v>68</v>
      </c>
      <c r="E365" s="133" t="s">
        <v>23</v>
      </c>
      <c r="F365" s="134" t="str">
        <f t="shared" si="30"/>
        <v>GLAMRR Q</v>
      </c>
      <c r="G365" s="134">
        <v>6</v>
      </c>
      <c r="H365" s="134"/>
      <c r="I365" s="147">
        <f t="shared" si="32"/>
        <v>6</v>
      </c>
      <c r="J365" s="122" t="s">
        <v>538</v>
      </c>
      <c r="K365" s="125">
        <v>46949</v>
      </c>
      <c r="L365" s="123">
        <f t="shared" ca="1" si="36"/>
        <v>46106</v>
      </c>
      <c r="M365" s="135">
        <v>36</v>
      </c>
      <c r="N365" s="150">
        <f t="shared" ca="1" si="37"/>
        <v>28.1</v>
      </c>
      <c r="O365" s="151">
        <f t="shared" ca="1" si="31"/>
        <v>0.78055555555555556</v>
      </c>
      <c r="P365" s="8"/>
      <c r="Q365" s="129"/>
      <c r="R365" s="144" t="s">
        <v>670</v>
      </c>
    </row>
    <row r="366" spans="1:18" ht="24.95" customHeight="1">
      <c r="A366" s="8" t="s">
        <v>640</v>
      </c>
      <c r="B366" s="8" t="s">
        <v>665</v>
      </c>
      <c r="C366" s="122" t="s">
        <v>641</v>
      </c>
      <c r="D366" s="122" t="s">
        <v>68</v>
      </c>
      <c r="E366" s="133" t="s">
        <v>23</v>
      </c>
      <c r="F366" s="134" t="str">
        <f t="shared" si="30"/>
        <v>GLAMRR Q</v>
      </c>
      <c r="G366" s="134">
        <v>4</v>
      </c>
      <c r="H366" s="134"/>
      <c r="I366" s="147">
        <f t="shared" si="32"/>
        <v>4</v>
      </c>
      <c r="J366" s="122" t="s">
        <v>538</v>
      </c>
      <c r="K366" s="126">
        <v>46833</v>
      </c>
      <c r="L366" s="123">
        <f t="shared" ca="1" si="36"/>
        <v>46106</v>
      </c>
      <c r="M366" s="135">
        <v>36</v>
      </c>
      <c r="N366" s="150">
        <f t="shared" ca="1" si="37"/>
        <v>24.233333333333334</v>
      </c>
      <c r="O366" s="151">
        <f t="shared" ca="1" si="31"/>
        <v>0.67314814814814816</v>
      </c>
      <c r="P366" s="8"/>
      <c r="Q366" s="129"/>
      <c r="R366" s="144" t="s">
        <v>670</v>
      </c>
    </row>
    <row r="367" spans="1:18" ht="24.95" customHeight="1">
      <c r="A367" s="8" t="s">
        <v>640</v>
      </c>
      <c r="B367" s="8" t="s">
        <v>665</v>
      </c>
      <c r="C367" s="122" t="s">
        <v>641</v>
      </c>
      <c r="D367" s="122" t="s">
        <v>68</v>
      </c>
      <c r="E367" s="133" t="s">
        <v>23</v>
      </c>
      <c r="F367" s="134" t="str">
        <f t="shared" si="30"/>
        <v>GLAMRR Q</v>
      </c>
      <c r="G367" s="134">
        <v>1</v>
      </c>
      <c r="H367" s="134"/>
      <c r="I367" s="147">
        <f t="shared" si="32"/>
        <v>1</v>
      </c>
      <c r="J367" s="122" t="s">
        <v>562</v>
      </c>
      <c r="K367" s="126">
        <v>46845</v>
      </c>
      <c r="L367" s="123">
        <f t="shared" ca="1" si="36"/>
        <v>46106</v>
      </c>
      <c r="M367" s="135">
        <v>36</v>
      </c>
      <c r="N367" s="150">
        <f t="shared" ca="1" si="37"/>
        <v>24.633333333333333</v>
      </c>
      <c r="O367" s="151">
        <f t="shared" ca="1" si="31"/>
        <v>0.68425925925925923</v>
      </c>
      <c r="P367" s="8"/>
      <c r="Q367" s="129"/>
      <c r="R367" s="144" t="s">
        <v>670</v>
      </c>
    </row>
    <row r="368" spans="1:18" ht="24.95" customHeight="1">
      <c r="A368" s="8" t="s">
        <v>640</v>
      </c>
      <c r="B368" s="8" t="s">
        <v>665</v>
      </c>
      <c r="C368" s="122" t="s">
        <v>641</v>
      </c>
      <c r="D368" s="122" t="s">
        <v>68</v>
      </c>
      <c r="E368" s="133" t="s">
        <v>23</v>
      </c>
      <c r="F368" s="134" t="str">
        <f t="shared" si="30"/>
        <v>GLAMRR Q</v>
      </c>
      <c r="G368" s="134">
        <v>8</v>
      </c>
      <c r="H368" s="134"/>
      <c r="I368" s="147">
        <f t="shared" si="32"/>
        <v>8</v>
      </c>
      <c r="J368" s="122" t="s">
        <v>562</v>
      </c>
      <c r="K368" s="125">
        <v>46949</v>
      </c>
      <c r="L368" s="123">
        <f t="shared" ca="1" si="36"/>
        <v>46106</v>
      </c>
      <c r="M368" s="135">
        <v>36</v>
      </c>
      <c r="N368" s="150">
        <f t="shared" ca="1" si="37"/>
        <v>28.1</v>
      </c>
      <c r="O368" s="151">
        <f t="shared" ca="1" si="31"/>
        <v>0.78055555555555556</v>
      </c>
      <c r="P368" s="8"/>
      <c r="Q368" s="129"/>
      <c r="R368" s="144" t="s">
        <v>670</v>
      </c>
    </row>
    <row r="369" spans="1:18" ht="24.95" customHeight="1">
      <c r="A369" s="8" t="s">
        <v>640</v>
      </c>
      <c r="B369" s="8" t="s">
        <v>665</v>
      </c>
      <c r="C369" s="122" t="s">
        <v>641</v>
      </c>
      <c r="D369" s="122" t="s">
        <v>69</v>
      </c>
      <c r="E369" s="133" t="s">
        <v>24</v>
      </c>
      <c r="F369" s="134" t="str">
        <f t="shared" si="30"/>
        <v>GLAMRR Q</v>
      </c>
      <c r="G369" s="134">
        <v>1</v>
      </c>
      <c r="H369" s="134">
        <v>1</v>
      </c>
      <c r="I369" s="147">
        <f t="shared" si="32"/>
        <v>0</v>
      </c>
      <c r="J369" s="122" t="s">
        <v>538</v>
      </c>
      <c r="K369" s="126">
        <v>46930</v>
      </c>
      <c r="L369" s="123">
        <f t="shared" ca="1" si="36"/>
        <v>46106</v>
      </c>
      <c r="M369" s="135">
        <v>36</v>
      </c>
      <c r="N369" s="150">
        <f t="shared" ca="1" si="37"/>
        <v>27.466666666666665</v>
      </c>
      <c r="O369" s="151">
        <f t="shared" ca="1" si="31"/>
        <v>0.76296296296296295</v>
      </c>
      <c r="P369" s="8"/>
      <c r="Q369" s="129" t="s">
        <v>645</v>
      </c>
      <c r="R369" s="144" t="s">
        <v>670</v>
      </c>
    </row>
    <row r="370" spans="1:18" ht="24.95" customHeight="1">
      <c r="A370" s="8" t="s">
        <v>640</v>
      </c>
      <c r="B370" s="8" t="s">
        <v>665</v>
      </c>
      <c r="C370" s="122" t="s">
        <v>641</v>
      </c>
      <c r="D370" s="122" t="s">
        <v>69</v>
      </c>
      <c r="E370" s="133" t="s">
        <v>24</v>
      </c>
      <c r="F370" s="134" t="str">
        <f t="shared" si="30"/>
        <v>GLAMRR Q</v>
      </c>
      <c r="G370" s="134">
        <v>1</v>
      </c>
      <c r="H370" s="134">
        <v>1</v>
      </c>
      <c r="I370" s="147">
        <f t="shared" si="32"/>
        <v>0</v>
      </c>
      <c r="J370" s="122" t="s">
        <v>562</v>
      </c>
      <c r="K370" s="126">
        <v>46930</v>
      </c>
      <c r="L370" s="123">
        <f t="shared" ca="1" si="36"/>
        <v>46106</v>
      </c>
      <c r="M370" s="135">
        <v>36</v>
      </c>
      <c r="N370" s="150">
        <f t="shared" ca="1" si="37"/>
        <v>27.466666666666665</v>
      </c>
      <c r="O370" s="151">
        <f t="shared" ca="1" si="31"/>
        <v>0.76296296296296295</v>
      </c>
      <c r="P370" s="8"/>
      <c r="Q370" s="129" t="s">
        <v>645</v>
      </c>
      <c r="R370" s="144" t="s">
        <v>670</v>
      </c>
    </row>
    <row r="371" spans="1:18" ht="24.95" customHeight="1">
      <c r="A371" s="8" t="s">
        <v>640</v>
      </c>
      <c r="B371" s="8" t="s">
        <v>665</v>
      </c>
      <c r="C371" s="122" t="s">
        <v>641</v>
      </c>
      <c r="D371" s="122" t="s">
        <v>70</v>
      </c>
      <c r="E371" s="133" t="s">
        <v>25</v>
      </c>
      <c r="F371" s="134" t="str">
        <f t="shared" si="30"/>
        <v>GLAMRR Q</v>
      </c>
      <c r="G371" s="134">
        <v>3</v>
      </c>
      <c r="H371" s="134"/>
      <c r="I371" s="147">
        <f t="shared" si="32"/>
        <v>3</v>
      </c>
      <c r="J371" s="122" t="s">
        <v>562</v>
      </c>
      <c r="K371" s="126">
        <v>46436</v>
      </c>
      <c r="L371" s="123">
        <f t="shared" ca="1" si="36"/>
        <v>46106</v>
      </c>
      <c r="M371" s="135">
        <v>36</v>
      </c>
      <c r="N371" s="150">
        <f t="shared" ca="1" si="37"/>
        <v>11</v>
      </c>
      <c r="O371" s="151">
        <f t="shared" ca="1" si="31"/>
        <v>0.30555555555555558</v>
      </c>
      <c r="P371" s="8"/>
      <c r="Q371" s="129"/>
      <c r="R371" s="144" t="s">
        <v>670</v>
      </c>
    </row>
    <row r="372" spans="1:18" ht="24.95" customHeight="1">
      <c r="A372" s="8" t="s">
        <v>640</v>
      </c>
      <c r="B372" s="8" t="s">
        <v>665</v>
      </c>
      <c r="C372" s="122" t="s">
        <v>641</v>
      </c>
      <c r="D372" s="122" t="s">
        <v>70</v>
      </c>
      <c r="E372" s="133" t="s">
        <v>25</v>
      </c>
      <c r="F372" s="134" t="str">
        <f t="shared" si="30"/>
        <v>GLAMRR Q</v>
      </c>
      <c r="G372" s="134">
        <v>2</v>
      </c>
      <c r="H372" s="134"/>
      <c r="I372" s="147">
        <f t="shared" si="32"/>
        <v>2</v>
      </c>
      <c r="J372" s="122" t="s">
        <v>562</v>
      </c>
      <c r="K372" s="126">
        <v>46452</v>
      </c>
      <c r="L372" s="123">
        <f t="shared" ca="1" si="36"/>
        <v>46106</v>
      </c>
      <c r="M372" s="135">
        <v>36</v>
      </c>
      <c r="N372" s="150">
        <f t="shared" ca="1" si="37"/>
        <v>11.533333333333333</v>
      </c>
      <c r="O372" s="151">
        <f t="shared" ca="1" si="31"/>
        <v>0.32037037037037036</v>
      </c>
      <c r="P372" s="8"/>
      <c r="Q372" s="129"/>
      <c r="R372" s="144" t="s">
        <v>670</v>
      </c>
    </row>
    <row r="373" spans="1:18" ht="24.95" customHeight="1">
      <c r="A373" s="8" t="s">
        <v>640</v>
      </c>
      <c r="B373" s="8" t="s">
        <v>665</v>
      </c>
      <c r="C373" s="122" t="s">
        <v>641</v>
      </c>
      <c r="D373" s="122" t="s">
        <v>70</v>
      </c>
      <c r="E373" s="133" t="s">
        <v>25</v>
      </c>
      <c r="F373" s="134" t="str">
        <f t="shared" si="30"/>
        <v>GLAMRR Q</v>
      </c>
      <c r="G373" s="134">
        <v>2</v>
      </c>
      <c r="H373" s="134"/>
      <c r="I373" s="147">
        <f t="shared" si="32"/>
        <v>2</v>
      </c>
      <c r="J373" s="122" t="s">
        <v>562</v>
      </c>
      <c r="K373" s="126">
        <v>46472</v>
      </c>
      <c r="L373" s="123">
        <f t="shared" ca="1" si="36"/>
        <v>46106</v>
      </c>
      <c r="M373" s="135">
        <v>36</v>
      </c>
      <c r="N373" s="150">
        <f t="shared" ca="1" si="37"/>
        <v>12.2</v>
      </c>
      <c r="O373" s="151">
        <f t="shared" ca="1" si="31"/>
        <v>0.33888888888888885</v>
      </c>
      <c r="P373" s="8"/>
      <c r="Q373" s="129"/>
      <c r="R373" s="144" t="s">
        <v>670</v>
      </c>
    </row>
    <row r="374" spans="1:18" ht="24.95" customHeight="1">
      <c r="A374" s="8" t="s">
        <v>640</v>
      </c>
      <c r="B374" s="8" t="s">
        <v>665</v>
      </c>
      <c r="C374" s="122" t="s">
        <v>641</v>
      </c>
      <c r="D374" s="122" t="s">
        <v>70</v>
      </c>
      <c r="E374" s="133" t="s">
        <v>25</v>
      </c>
      <c r="F374" s="134" t="str">
        <f t="shared" si="30"/>
        <v>GLAMRR Q</v>
      </c>
      <c r="G374" s="134">
        <v>8</v>
      </c>
      <c r="H374" s="134"/>
      <c r="I374" s="147">
        <f t="shared" si="32"/>
        <v>8</v>
      </c>
      <c r="J374" s="122" t="s">
        <v>538</v>
      </c>
      <c r="K374" s="126">
        <v>46436</v>
      </c>
      <c r="L374" s="123">
        <f t="shared" ca="1" si="36"/>
        <v>46106</v>
      </c>
      <c r="M374" s="135">
        <v>36</v>
      </c>
      <c r="N374" s="150">
        <f t="shared" ca="1" si="37"/>
        <v>11</v>
      </c>
      <c r="O374" s="151">
        <f t="shared" ca="1" si="31"/>
        <v>0.30555555555555558</v>
      </c>
      <c r="P374" s="8"/>
      <c r="Q374" s="129"/>
      <c r="R374" s="144" t="s">
        <v>670</v>
      </c>
    </row>
    <row r="375" spans="1:18" ht="24.95" customHeight="1">
      <c r="A375" s="8" t="s">
        <v>640</v>
      </c>
      <c r="B375" s="8" t="s">
        <v>665</v>
      </c>
      <c r="C375" s="122" t="s">
        <v>641</v>
      </c>
      <c r="D375" s="122" t="s">
        <v>70</v>
      </c>
      <c r="E375" s="133" t="s">
        <v>25</v>
      </c>
      <c r="F375" s="134" t="str">
        <f t="shared" si="30"/>
        <v>GLAMRR Q</v>
      </c>
      <c r="G375" s="134">
        <v>4</v>
      </c>
      <c r="H375" s="134"/>
      <c r="I375" s="147">
        <f t="shared" si="32"/>
        <v>4</v>
      </c>
      <c r="J375" s="122" t="s">
        <v>562</v>
      </c>
      <c r="K375" s="126">
        <v>46845</v>
      </c>
      <c r="L375" s="123">
        <f t="shared" ca="1" si="36"/>
        <v>46106</v>
      </c>
      <c r="M375" s="135">
        <v>36</v>
      </c>
      <c r="N375" s="150">
        <f t="shared" ca="1" si="37"/>
        <v>24.633333333333333</v>
      </c>
      <c r="O375" s="151">
        <f t="shared" ca="1" si="31"/>
        <v>0.68425925925925923</v>
      </c>
      <c r="P375" s="8"/>
      <c r="Q375" s="129"/>
      <c r="R375" s="144" t="s">
        <v>670</v>
      </c>
    </row>
    <row r="376" spans="1:18" ht="24.95" customHeight="1">
      <c r="A376" s="8" t="s">
        <v>640</v>
      </c>
      <c r="B376" s="8" t="s">
        <v>665</v>
      </c>
      <c r="C376" s="122" t="s">
        <v>641</v>
      </c>
      <c r="D376" s="122" t="s">
        <v>70</v>
      </c>
      <c r="E376" s="133" t="s">
        <v>25</v>
      </c>
      <c r="F376" s="134" t="str">
        <f t="shared" si="30"/>
        <v>GLAMRR Q</v>
      </c>
      <c r="G376" s="134">
        <v>1</v>
      </c>
      <c r="H376" s="134"/>
      <c r="I376" s="147">
        <f t="shared" si="32"/>
        <v>1</v>
      </c>
      <c r="J376" s="122" t="s">
        <v>538</v>
      </c>
      <c r="K376" s="126">
        <v>46845</v>
      </c>
      <c r="L376" s="123">
        <f t="shared" ca="1" si="36"/>
        <v>46106</v>
      </c>
      <c r="M376" s="135">
        <v>36</v>
      </c>
      <c r="N376" s="150">
        <f t="shared" ca="1" si="37"/>
        <v>24.633333333333333</v>
      </c>
      <c r="O376" s="151">
        <f t="shared" ca="1" si="31"/>
        <v>0.68425925925925923</v>
      </c>
      <c r="P376" s="8"/>
      <c r="Q376" s="129"/>
      <c r="R376" s="144" t="s">
        <v>670</v>
      </c>
    </row>
    <row r="377" spans="1:18" ht="24.95" customHeight="1">
      <c r="A377" s="8" t="s">
        <v>640</v>
      </c>
      <c r="B377" s="8" t="s">
        <v>665</v>
      </c>
      <c r="C377" s="122" t="s">
        <v>641</v>
      </c>
      <c r="D377" s="122" t="s">
        <v>71</v>
      </c>
      <c r="E377" s="133" t="s">
        <v>26</v>
      </c>
      <c r="F377" s="134" t="str">
        <f t="shared" si="30"/>
        <v>GLAMRR Q</v>
      </c>
      <c r="G377" s="134">
        <v>8</v>
      </c>
      <c r="H377" s="134"/>
      <c r="I377" s="147">
        <f t="shared" si="32"/>
        <v>8</v>
      </c>
      <c r="J377" s="122" t="s">
        <v>562</v>
      </c>
      <c r="K377" s="126">
        <v>46452</v>
      </c>
      <c r="L377" s="123">
        <f t="shared" ca="1" si="36"/>
        <v>46106</v>
      </c>
      <c r="M377" s="135">
        <v>36</v>
      </c>
      <c r="N377" s="150">
        <f t="shared" ca="1" si="37"/>
        <v>11.533333333333333</v>
      </c>
      <c r="O377" s="151">
        <f t="shared" ca="1" si="31"/>
        <v>0.32037037037037036</v>
      </c>
      <c r="P377" s="8"/>
      <c r="Q377" s="129"/>
      <c r="R377" s="144" t="s">
        <v>670</v>
      </c>
    </row>
    <row r="378" spans="1:18" ht="24.95" customHeight="1">
      <c r="A378" s="8" t="s">
        <v>640</v>
      </c>
      <c r="B378" s="8" t="s">
        <v>665</v>
      </c>
      <c r="C378" s="122" t="s">
        <v>641</v>
      </c>
      <c r="D378" s="122" t="s">
        <v>71</v>
      </c>
      <c r="E378" s="133" t="s">
        <v>26</v>
      </c>
      <c r="F378" s="134" t="str">
        <f t="shared" si="30"/>
        <v>GLAMRR Q</v>
      </c>
      <c r="G378" s="134">
        <v>3</v>
      </c>
      <c r="H378" s="134"/>
      <c r="I378" s="147">
        <f t="shared" si="32"/>
        <v>3</v>
      </c>
      <c r="J378" s="122" t="s">
        <v>538</v>
      </c>
      <c r="K378" s="126">
        <v>46452</v>
      </c>
      <c r="L378" s="123">
        <f t="shared" ca="1" si="36"/>
        <v>46106</v>
      </c>
      <c r="M378" s="135">
        <v>36</v>
      </c>
      <c r="N378" s="150">
        <f t="shared" ca="1" si="37"/>
        <v>11.533333333333333</v>
      </c>
      <c r="O378" s="151">
        <f t="shared" ca="1" si="31"/>
        <v>0.32037037037037036</v>
      </c>
      <c r="P378" s="8"/>
      <c r="Q378" s="129"/>
      <c r="R378" s="144" t="s">
        <v>670</v>
      </c>
    </row>
    <row r="379" spans="1:18" ht="24.95" customHeight="1">
      <c r="A379" s="8" t="s">
        <v>640</v>
      </c>
      <c r="B379" s="8" t="s">
        <v>665</v>
      </c>
      <c r="C379" s="122" t="s">
        <v>641</v>
      </c>
      <c r="D379" s="122" t="s">
        <v>53</v>
      </c>
      <c r="E379" s="133" t="s">
        <v>19</v>
      </c>
      <c r="F379" s="134" t="str">
        <f t="shared" si="30"/>
        <v>GLAMRR Q</v>
      </c>
      <c r="G379" s="134">
        <v>1</v>
      </c>
      <c r="H379" s="134"/>
      <c r="I379" s="147">
        <f t="shared" si="32"/>
        <v>1</v>
      </c>
      <c r="J379" s="122" t="s">
        <v>562</v>
      </c>
      <c r="K379" s="126">
        <v>46385</v>
      </c>
      <c r="L379" s="123">
        <f t="shared" ca="1" si="36"/>
        <v>46106</v>
      </c>
      <c r="M379" s="135">
        <v>36</v>
      </c>
      <c r="N379" s="150">
        <f t="shared" ca="1" si="37"/>
        <v>9.3000000000000007</v>
      </c>
      <c r="O379" s="151">
        <f t="shared" ca="1" si="31"/>
        <v>0.25833333333333336</v>
      </c>
      <c r="P379" s="8"/>
      <c r="Q379" s="129"/>
      <c r="R379" s="144" t="s">
        <v>670</v>
      </c>
    </row>
    <row r="380" spans="1:18" ht="24.95" customHeight="1">
      <c r="A380" s="8" t="s">
        <v>640</v>
      </c>
      <c r="B380" s="8" t="s">
        <v>665</v>
      </c>
      <c r="C380" s="122" t="s">
        <v>641</v>
      </c>
      <c r="D380" s="122" t="s">
        <v>53</v>
      </c>
      <c r="E380" s="133" t="s">
        <v>19</v>
      </c>
      <c r="F380" s="134" t="str">
        <f t="shared" si="30"/>
        <v>GLAMRR Q</v>
      </c>
      <c r="G380" s="134">
        <v>3</v>
      </c>
      <c r="H380" s="134"/>
      <c r="I380" s="147">
        <f t="shared" si="32"/>
        <v>3</v>
      </c>
      <c r="J380" s="122" t="s">
        <v>562</v>
      </c>
      <c r="K380" s="126">
        <v>46421</v>
      </c>
      <c r="L380" s="123">
        <f t="shared" ca="1" si="36"/>
        <v>46106</v>
      </c>
      <c r="M380" s="135">
        <v>36</v>
      </c>
      <c r="N380" s="150">
        <f t="shared" ca="1" si="37"/>
        <v>10.5</v>
      </c>
      <c r="O380" s="151">
        <f t="shared" ca="1" si="31"/>
        <v>0.29166666666666669</v>
      </c>
      <c r="P380" s="8"/>
      <c r="Q380" s="129"/>
      <c r="R380" s="144" t="s">
        <v>670</v>
      </c>
    </row>
    <row r="381" spans="1:18" ht="24.95" customHeight="1">
      <c r="A381" s="8" t="s">
        <v>640</v>
      </c>
      <c r="B381" s="8" t="s">
        <v>665</v>
      </c>
      <c r="C381" s="122" t="s">
        <v>641</v>
      </c>
      <c r="D381" s="122" t="s">
        <v>53</v>
      </c>
      <c r="E381" s="133" t="s">
        <v>19</v>
      </c>
      <c r="F381" s="134" t="str">
        <f t="shared" si="30"/>
        <v>GLAMRR Q</v>
      </c>
      <c r="G381" s="134">
        <v>2</v>
      </c>
      <c r="H381" s="134"/>
      <c r="I381" s="147">
        <f t="shared" si="32"/>
        <v>2</v>
      </c>
      <c r="J381" s="122" t="s">
        <v>562</v>
      </c>
      <c r="K381" s="126">
        <v>46472</v>
      </c>
      <c r="L381" s="123">
        <f t="shared" ca="1" si="36"/>
        <v>46106</v>
      </c>
      <c r="M381" s="135">
        <v>36</v>
      </c>
      <c r="N381" s="150">
        <f t="shared" ca="1" si="37"/>
        <v>12.2</v>
      </c>
      <c r="O381" s="151">
        <f t="shared" ca="1" si="31"/>
        <v>0.33888888888888885</v>
      </c>
      <c r="P381" s="8"/>
      <c r="Q381" s="129"/>
      <c r="R381" s="144" t="s">
        <v>670</v>
      </c>
    </row>
    <row r="382" spans="1:18" ht="24.95" customHeight="1">
      <c r="A382" s="8" t="s">
        <v>640</v>
      </c>
      <c r="B382" s="8" t="s">
        <v>665</v>
      </c>
      <c r="C382" s="122" t="s">
        <v>641</v>
      </c>
      <c r="D382" s="122" t="s">
        <v>53</v>
      </c>
      <c r="E382" s="133" t="s">
        <v>19</v>
      </c>
      <c r="F382" s="134" t="str">
        <f t="shared" si="30"/>
        <v>GLAMRR Q</v>
      </c>
      <c r="G382" s="134">
        <v>3</v>
      </c>
      <c r="H382" s="134"/>
      <c r="I382" s="147">
        <f t="shared" si="32"/>
        <v>3</v>
      </c>
      <c r="J382" s="122" t="s">
        <v>538</v>
      </c>
      <c r="K382" s="126">
        <v>46421</v>
      </c>
      <c r="L382" s="123">
        <f t="shared" ca="1" si="36"/>
        <v>46106</v>
      </c>
      <c r="M382" s="135">
        <v>36</v>
      </c>
      <c r="N382" s="150">
        <f t="shared" ca="1" si="37"/>
        <v>10.5</v>
      </c>
      <c r="O382" s="151">
        <f t="shared" ca="1" si="31"/>
        <v>0.29166666666666669</v>
      </c>
      <c r="P382" s="8"/>
      <c r="Q382" s="129"/>
      <c r="R382" s="144" t="s">
        <v>670</v>
      </c>
    </row>
    <row r="383" spans="1:18" ht="24.95" customHeight="1">
      <c r="A383" s="8" t="s">
        <v>640</v>
      </c>
      <c r="B383" s="8" t="s">
        <v>665</v>
      </c>
      <c r="C383" s="122" t="s">
        <v>641</v>
      </c>
      <c r="D383" s="122" t="s">
        <v>53</v>
      </c>
      <c r="E383" s="133" t="s">
        <v>19</v>
      </c>
      <c r="F383" s="134" t="str">
        <f t="shared" si="30"/>
        <v>GLAMRR Q</v>
      </c>
      <c r="G383" s="134">
        <v>2</v>
      </c>
      <c r="H383" s="134"/>
      <c r="I383" s="147">
        <f t="shared" si="32"/>
        <v>2</v>
      </c>
      <c r="J383" s="122" t="s">
        <v>538</v>
      </c>
      <c r="K383" s="126">
        <v>46962</v>
      </c>
      <c r="L383" s="123">
        <f t="shared" ca="1" si="36"/>
        <v>46106</v>
      </c>
      <c r="M383" s="135">
        <v>36</v>
      </c>
      <c r="N383" s="150">
        <f t="shared" ca="1" si="37"/>
        <v>28.533333333333335</v>
      </c>
      <c r="O383" s="151">
        <f t="shared" ca="1" si="31"/>
        <v>0.79259259259259263</v>
      </c>
      <c r="P383" s="8"/>
      <c r="Q383" s="129"/>
      <c r="R383" s="144" t="s">
        <v>670</v>
      </c>
    </row>
    <row r="384" spans="1:18" ht="24.95" customHeight="1">
      <c r="A384" s="8" t="s">
        <v>640</v>
      </c>
      <c r="B384" s="8" t="s">
        <v>665</v>
      </c>
      <c r="C384" s="122" t="s">
        <v>641</v>
      </c>
      <c r="D384" s="122" t="s">
        <v>53</v>
      </c>
      <c r="E384" s="133" t="s">
        <v>19</v>
      </c>
      <c r="F384" s="134" t="str">
        <f t="shared" si="30"/>
        <v>GLAMRR Q</v>
      </c>
      <c r="G384" s="134">
        <v>2</v>
      </c>
      <c r="H384" s="134"/>
      <c r="I384" s="147">
        <f t="shared" si="32"/>
        <v>2</v>
      </c>
      <c r="J384" s="122" t="s">
        <v>562</v>
      </c>
      <c r="K384" s="126">
        <v>46962</v>
      </c>
      <c r="L384" s="123">
        <f t="shared" ca="1" si="36"/>
        <v>46106</v>
      </c>
      <c r="M384" s="135">
        <v>36</v>
      </c>
      <c r="N384" s="150">
        <f t="shared" ca="1" si="37"/>
        <v>28.533333333333335</v>
      </c>
      <c r="O384" s="151">
        <f t="shared" ca="1" si="31"/>
        <v>0.79259259259259263</v>
      </c>
      <c r="P384" s="8"/>
      <c r="Q384" s="129"/>
      <c r="R384" s="144" t="s">
        <v>670</v>
      </c>
    </row>
    <row r="385" spans="1:18" ht="24.95" customHeight="1">
      <c r="A385" s="8" t="s">
        <v>640</v>
      </c>
      <c r="B385" s="8" t="s">
        <v>665</v>
      </c>
      <c r="C385" s="122" t="s">
        <v>641</v>
      </c>
      <c r="D385" s="122" t="s">
        <v>55</v>
      </c>
      <c r="E385" s="133" t="s">
        <v>20</v>
      </c>
      <c r="F385" s="134" t="str">
        <f t="shared" ref="F385:F448" si="38">IF(ISNUMBER(SEARCH("gilaa",E385)),"GILAA",
IF(ISNUMBER(SEARCH("GLAMRR Q",E385)),"GLAMRR Q",
IF(ISNUMBER(SEARCH("BAD PEACH",E385)),"BAD PEACH",
IF(ISNUMBER(SEARCH("VEGICK",E385)),"VEGICK",
IF(ISNUMBER(SEARCH("DE MEMORIA",E385)),"DE MEMORIA",
IF(ISNUMBER(SEARCH("MUDE",E385)),"MUDE",
IF(ISNUMBER(SEARCH("daoida",E385)),"DAOIDA",IF(ISNUMBER(SEARCH("MEDIFORCELL",E385)),"MEDIFORCELL",IF(ISNUMBER(SEARCH("PLU",E385)),"PLU","")))))))))</f>
        <v>GLAMRR Q</v>
      </c>
      <c r="G385" s="134">
        <v>1</v>
      </c>
      <c r="H385" s="134"/>
      <c r="I385" s="147">
        <f t="shared" si="32"/>
        <v>1</v>
      </c>
      <c r="J385" s="122" t="s">
        <v>538</v>
      </c>
      <c r="K385" s="126">
        <v>46355</v>
      </c>
      <c r="L385" s="123">
        <f t="shared" ca="1" si="36"/>
        <v>46106</v>
      </c>
      <c r="M385" s="135">
        <v>36</v>
      </c>
      <c r="N385" s="150">
        <f t="shared" ca="1" si="37"/>
        <v>8.3000000000000007</v>
      </c>
      <c r="O385" s="151">
        <f t="shared" ca="1" si="31"/>
        <v>0.23055555555555557</v>
      </c>
      <c r="P385" s="8"/>
      <c r="Q385" s="129"/>
      <c r="R385" s="144" t="s">
        <v>670</v>
      </c>
    </row>
    <row r="386" spans="1:18" ht="24.95" customHeight="1">
      <c r="A386" s="8" t="s">
        <v>640</v>
      </c>
      <c r="B386" s="8" t="s">
        <v>665</v>
      </c>
      <c r="C386" s="122" t="s">
        <v>641</v>
      </c>
      <c r="D386" s="122" t="s">
        <v>55</v>
      </c>
      <c r="E386" s="133" t="s">
        <v>20</v>
      </c>
      <c r="F386" s="134" t="str">
        <f t="shared" si="38"/>
        <v>GLAMRR Q</v>
      </c>
      <c r="G386" s="134">
        <v>1</v>
      </c>
      <c r="H386" s="137"/>
      <c r="I386" s="147">
        <f t="shared" si="32"/>
        <v>1</v>
      </c>
      <c r="J386" s="122" t="s">
        <v>538</v>
      </c>
      <c r="K386" s="126">
        <v>46510</v>
      </c>
      <c r="L386" s="123">
        <f t="shared" ca="1" si="36"/>
        <v>46106</v>
      </c>
      <c r="M386" s="135">
        <v>36</v>
      </c>
      <c r="N386" s="150">
        <f t="shared" ca="1" si="37"/>
        <v>13.466666666666667</v>
      </c>
      <c r="O386" s="151">
        <f t="shared" ref="O386:O397" ca="1" si="39">N386/M386</f>
        <v>0.37407407407407406</v>
      </c>
      <c r="P386" s="8"/>
      <c r="Q386" s="129"/>
      <c r="R386" s="144" t="s">
        <v>670</v>
      </c>
    </row>
    <row r="387" spans="1:18" ht="24.95" customHeight="1">
      <c r="A387" s="8" t="s">
        <v>640</v>
      </c>
      <c r="B387" s="8" t="s">
        <v>665</v>
      </c>
      <c r="C387" s="122" t="s">
        <v>641</v>
      </c>
      <c r="D387" s="122" t="s">
        <v>55</v>
      </c>
      <c r="E387" s="133" t="s">
        <v>20</v>
      </c>
      <c r="F387" s="134" t="str">
        <f t="shared" si="38"/>
        <v>GLAMRR Q</v>
      </c>
      <c r="G387" s="134">
        <v>1</v>
      </c>
      <c r="H387" s="137"/>
      <c r="I387" s="147">
        <f t="shared" ref="I387:I450" si="40">G387-H387</f>
        <v>1</v>
      </c>
      <c r="J387" s="122" t="s">
        <v>538</v>
      </c>
      <c r="K387" s="126">
        <v>46856</v>
      </c>
      <c r="L387" s="123">
        <f t="shared" ca="1" si="36"/>
        <v>46106</v>
      </c>
      <c r="M387" s="135">
        <v>36</v>
      </c>
      <c r="N387" s="150">
        <f t="shared" ca="1" si="37"/>
        <v>25</v>
      </c>
      <c r="O387" s="151">
        <f t="shared" ca="1" si="39"/>
        <v>0.69444444444444442</v>
      </c>
      <c r="P387" s="8"/>
      <c r="Q387" s="129"/>
      <c r="R387" s="144" t="s">
        <v>670</v>
      </c>
    </row>
    <row r="388" spans="1:18" ht="24.95" customHeight="1">
      <c r="A388" s="8" t="s">
        <v>640</v>
      </c>
      <c r="B388" s="8" t="s">
        <v>665</v>
      </c>
      <c r="C388" s="122" t="s">
        <v>641</v>
      </c>
      <c r="D388" s="122" t="s">
        <v>597</v>
      </c>
      <c r="E388" s="133" t="s">
        <v>414</v>
      </c>
      <c r="F388" s="134" t="str">
        <f t="shared" si="38"/>
        <v>MUDE</v>
      </c>
      <c r="G388" s="136">
        <v>3</v>
      </c>
      <c r="H388" s="134"/>
      <c r="I388" s="147">
        <f t="shared" si="40"/>
        <v>3</v>
      </c>
      <c r="J388" s="122" t="s">
        <v>562</v>
      </c>
      <c r="K388" s="125">
        <v>46951</v>
      </c>
      <c r="L388" s="123">
        <f t="shared" ca="1" si="36"/>
        <v>46106</v>
      </c>
      <c r="M388" s="135">
        <v>36</v>
      </c>
      <c r="N388" s="150">
        <f t="shared" ca="1" si="37"/>
        <v>28.166666666666668</v>
      </c>
      <c r="O388" s="151">
        <f t="shared" ca="1" si="39"/>
        <v>0.78240740740740744</v>
      </c>
      <c r="P388" s="8"/>
      <c r="Q388" s="129"/>
      <c r="R388" s="144" t="s">
        <v>670</v>
      </c>
    </row>
    <row r="389" spans="1:18" ht="24.95" customHeight="1">
      <c r="A389" s="8" t="s">
        <v>640</v>
      </c>
      <c r="B389" s="8" t="s">
        <v>665</v>
      </c>
      <c r="C389" s="122" t="s">
        <v>641</v>
      </c>
      <c r="D389" s="122" t="s">
        <v>598</v>
      </c>
      <c r="E389" s="133" t="s">
        <v>415</v>
      </c>
      <c r="F389" s="134" t="str">
        <f t="shared" si="38"/>
        <v>MUDE</v>
      </c>
      <c r="G389" s="134">
        <v>1</v>
      </c>
      <c r="H389" s="134"/>
      <c r="I389" s="147">
        <f t="shared" si="40"/>
        <v>1</v>
      </c>
      <c r="J389" s="122" t="s">
        <v>538</v>
      </c>
      <c r="K389" s="125">
        <v>46712</v>
      </c>
      <c r="L389" s="123">
        <f t="shared" ca="1" si="36"/>
        <v>46106</v>
      </c>
      <c r="M389" s="135">
        <v>36</v>
      </c>
      <c r="N389" s="150">
        <f t="shared" ca="1" si="37"/>
        <v>20.2</v>
      </c>
      <c r="O389" s="151">
        <f t="shared" ca="1" si="39"/>
        <v>0.56111111111111112</v>
      </c>
      <c r="P389" s="8"/>
      <c r="Q389" s="129"/>
      <c r="R389" s="144" t="s">
        <v>670</v>
      </c>
    </row>
    <row r="390" spans="1:18" ht="24.95" customHeight="1">
      <c r="A390" s="8" t="s">
        <v>640</v>
      </c>
      <c r="B390" s="8" t="s">
        <v>665</v>
      </c>
      <c r="C390" s="122" t="s">
        <v>641</v>
      </c>
      <c r="D390" s="122" t="s">
        <v>599</v>
      </c>
      <c r="E390" s="133" t="s">
        <v>479</v>
      </c>
      <c r="F390" s="134" t="str">
        <f t="shared" si="38"/>
        <v>GLAMRR Q</v>
      </c>
      <c r="G390" s="134">
        <v>4</v>
      </c>
      <c r="H390" s="134">
        <v>1</v>
      </c>
      <c r="I390" s="147">
        <f t="shared" si="40"/>
        <v>3</v>
      </c>
      <c r="J390" s="122" t="s">
        <v>562</v>
      </c>
      <c r="K390" s="5" t="s">
        <v>27</v>
      </c>
      <c r="L390" s="123" t="s">
        <v>27</v>
      </c>
      <c r="M390" s="123" t="s">
        <v>27</v>
      </c>
      <c r="N390" s="123" t="s">
        <v>27</v>
      </c>
      <c r="O390" s="123" t="s">
        <v>27</v>
      </c>
      <c r="P390" s="8"/>
      <c r="Q390" s="129" t="s">
        <v>645</v>
      </c>
      <c r="R390" s="144" t="s">
        <v>670</v>
      </c>
    </row>
    <row r="391" spans="1:18" ht="24.95" customHeight="1">
      <c r="A391" s="8" t="s">
        <v>640</v>
      </c>
      <c r="B391" s="8" t="s">
        <v>665</v>
      </c>
      <c r="C391" s="122" t="s">
        <v>641</v>
      </c>
      <c r="D391" s="122" t="s">
        <v>600</v>
      </c>
      <c r="E391" s="133" t="s">
        <v>440</v>
      </c>
      <c r="F391" s="134" t="str">
        <f t="shared" si="38"/>
        <v>DAOIDA</v>
      </c>
      <c r="G391" s="136">
        <v>1</v>
      </c>
      <c r="H391" s="134"/>
      <c r="I391" s="147">
        <f t="shared" si="40"/>
        <v>1</v>
      </c>
      <c r="J391" s="122" t="s">
        <v>538</v>
      </c>
      <c r="K391" s="125">
        <v>46905</v>
      </c>
      <c r="L391" s="123">
        <f t="shared" ref="L391:L447" ca="1" si="41">TODAY()</f>
        <v>46106</v>
      </c>
      <c r="M391" s="135">
        <v>36</v>
      </c>
      <c r="N391" s="150">
        <f t="shared" ref="N391:N422" ca="1" si="42">(K391-L391)/30</f>
        <v>26.633333333333333</v>
      </c>
      <c r="O391" s="151">
        <f t="shared" ca="1" si="39"/>
        <v>0.73981481481481481</v>
      </c>
      <c r="P391" s="8"/>
      <c r="Q391" s="129"/>
      <c r="R391" s="144" t="s">
        <v>670</v>
      </c>
    </row>
    <row r="392" spans="1:18" ht="24.95" customHeight="1">
      <c r="A392" s="8" t="s">
        <v>640</v>
      </c>
      <c r="B392" s="8" t="s">
        <v>665</v>
      </c>
      <c r="C392" s="122" t="s">
        <v>641</v>
      </c>
      <c r="D392" s="138">
        <v>8809491946154</v>
      </c>
      <c r="E392" s="133" t="s">
        <v>6</v>
      </c>
      <c r="F392" s="134" t="str">
        <f t="shared" si="38"/>
        <v>GLAMRR Q</v>
      </c>
      <c r="G392" s="134">
        <v>3</v>
      </c>
      <c r="H392" s="134"/>
      <c r="I392" s="147">
        <f t="shared" si="40"/>
        <v>3</v>
      </c>
      <c r="J392" s="122" t="s">
        <v>588</v>
      </c>
      <c r="K392" s="126">
        <v>46052</v>
      </c>
      <c r="L392" s="123">
        <f t="shared" ca="1" si="41"/>
        <v>46106</v>
      </c>
      <c r="M392" s="135">
        <v>36</v>
      </c>
      <c r="N392" s="150">
        <f t="shared" ca="1" si="42"/>
        <v>-1.8</v>
      </c>
      <c r="O392" s="151">
        <f t="shared" ca="1" si="39"/>
        <v>-0.05</v>
      </c>
      <c r="P392" s="8"/>
      <c r="Q392" s="129"/>
      <c r="R392" s="144" t="s">
        <v>670</v>
      </c>
    </row>
    <row r="393" spans="1:18" ht="24.95" customHeight="1">
      <c r="A393" s="8" t="s">
        <v>640</v>
      </c>
      <c r="B393" s="8" t="s">
        <v>665</v>
      </c>
      <c r="C393" s="122" t="s">
        <v>641</v>
      </c>
      <c r="D393" s="138">
        <v>8809491946154</v>
      </c>
      <c r="E393" s="133" t="s">
        <v>6</v>
      </c>
      <c r="F393" s="134" t="str">
        <f t="shared" si="38"/>
        <v>GLAMRR Q</v>
      </c>
      <c r="G393" s="134">
        <v>2</v>
      </c>
      <c r="H393" s="134"/>
      <c r="I393" s="147">
        <f t="shared" si="40"/>
        <v>2</v>
      </c>
      <c r="J393" s="122" t="s">
        <v>538</v>
      </c>
      <c r="K393" s="126">
        <v>46349</v>
      </c>
      <c r="L393" s="123">
        <f t="shared" ca="1" si="41"/>
        <v>46106</v>
      </c>
      <c r="M393" s="135">
        <v>36</v>
      </c>
      <c r="N393" s="150">
        <f t="shared" ca="1" si="42"/>
        <v>8.1</v>
      </c>
      <c r="O393" s="151">
        <f t="shared" ca="1" si="39"/>
        <v>0.22499999999999998</v>
      </c>
      <c r="P393" s="8"/>
      <c r="Q393" s="129"/>
      <c r="R393" s="144" t="s">
        <v>670</v>
      </c>
    </row>
    <row r="394" spans="1:18" ht="24.95" customHeight="1">
      <c r="A394" s="8" t="s">
        <v>640</v>
      </c>
      <c r="B394" s="8" t="s">
        <v>665</v>
      </c>
      <c r="C394" s="122" t="s">
        <v>641</v>
      </c>
      <c r="D394" s="138">
        <v>8809491946154</v>
      </c>
      <c r="E394" s="133" t="s">
        <v>6</v>
      </c>
      <c r="F394" s="134" t="str">
        <f t="shared" si="38"/>
        <v>GLAMRR Q</v>
      </c>
      <c r="G394" s="134">
        <v>1</v>
      </c>
      <c r="H394" s="134"/>
      <c r="I394" s="147">
        <f t="shared" si="40"/>
        <v>1</v>
      </c>
      <c r="J394" s="122" t="s">
        <v>538</v>
      </c>
      <c r="K394" s="126">
        <v>46640</v>
      </c>
      <c r="L394" s="123">
        <f t="shared" ca="1" si="41"/>
        <v>46106</v>
      </c>
      <c r="M394" s="135">
        <v>36</v>
      </c>
      <c r="N394" s="150">
        <f t="shared" ca="1" si="42"/>
        <v>17.8</v>
      </c>
      <c r="O394" s="151">
        <f t="shared" ca="1" si="39"/>
        <v>0.49444444444444446</v>
      </c>
      <c r="P394" s="8"/>
      <c r="Q394" s="129"/>
      <c r="R394" s="144" t="s">
        <v>670</v>
      </c>
    </row>
    <row r="395" spans="1:18" ht="24.95" customHeight="1">
      <c r="A395" s="8" t="s">
        <v>640</v>
      </c>
      <c r="B395" s="8" t="s">
        <v>665</v>
      </c>
      <c r="C395" s="122" t="s">
        <v>641</v>
      </c>
      <c r="D395" s="138">
        <v>8809491946161</v>
      </c>
      <c r="E395" s="133" t="s">
        <v>7</v>
      </c>
      <c r="F395" s="134" t="str">
        <f t="shared" si="38"/>
        <v>GLAMRR Q</v>
      </c>
      <c r="G395" s="134">
        <v>2</v>
      </c>
      <c r="H395" s="134"/>
      <c r="I395" s="147">
        <f t="shared" si="40"/>
        <v>2</v>
      </c>
      <c r="J395" s="122" t="s">
        <v>588</v>
      </c>
      <c r="K395" s="126">
        <v>46057</v>
      </c>
      <c r="L395" s="123">
        <f t="shared" ca="1" si="41"/>
        <v>46106</v>
      </c>
      <c r="M395" s="135">
        <v>36</v>
      </c>
      <c r="N395" s="150">
        <f t="shared" ca="1" si="42"/>
        <v>-1.6333333333333333</v>
      </c>
      <c r="O395" s="151">
        <f t="shared" ca="1" si="39"/>
        <v>-4.5370370370370366E-2</v>
      </c>
      <c r="P395" s="8"/>
      <c r="Q395" s="129"/>
      <c r="R395" s="144" t="s">
        <v>670</v>
      </c>
    </row>
    <row r="396" spans="1:18" ht="24.95" customHeight="1">
      <c r="A396" s="8" t="s">
        <v>640</v>
      </c>
      <c r="B396" s="8" t="s">
        <v>665</v>
      </c>
      <c r="C396" s="122" t="s">
        <v>641</v>
      </c>
      <c r="D396" s="138">
        <v>8809491946161</v>
      </c>
      <c r="E396" s="133" t="s">
        <v>7</v>
      </c>
      <c r="F396" s="134" t="str">
        <f t="shared" si="38"/>
        <v>GLAMRR Q</v>
      </c>
      <c r="G396" s="134">
        <v>14</v>
      </c>
      <c r="H396" s="134"/>
      <c r="I396" s="147">
        <f t="shared" si="40"/>
        <v>14</v>
      </c>
      <c r="J396" s="122" t="s">
        <v>538</v>
      </c>
      <c r="K396" s="126">
        <v>46201</v>
      </c>
      <c r="L396" s="123">
        <f t="shared" ca="1" si="41"/>
        <v>46106</v>
      </c>
      <c r="M396" s="135">
        <v>36</v>
      </c>
      <c r="N396" s="150">
        <f t="shared" ca="1" si="42"/>
        <v>3.1666666666666665</v>
      </c>
      <c r="O396" s="151">
        <f t="shared" ca="1" si="39"/>
        <v>8.7962962962962965E-2</v>
      </c>
      <c r="P396" s="8"/>
      <c r="Q396" s="129"/>
      <c r="R396" s="144" t="s">
        <v>670</v>
      </c>
    </row>
    <row r="397" spans="1:18" ht="24.95" customHeight="1">
      <c r="A397" s="8" t="s">
        <v>640</v>
      </c>
      <c r="B397" s="8" t="s">
        <v>665</v>
      </c>
      <c r="C397" s="122" t="s">
        <v>641</v>
      </c>
      <c r="D397" s="138">
        <v>8809491946178</v>
      </c>
      <c r="E397" s="133" t="s">
        <v>8</v>
      </c>
      <c r="F397" s="134" t="str">
        <f t="shared" si="38"/>
        <v>GLAMRR Q</v>
      </c>
      <c r="G397" s="134">
        <v>3</v>
      </c>
      <c r="H397" s="134"/>
      <c r="I397" s="147">
        <f t="shared" si="40"/>
        <v>3</v>
      </c>
      <c r="J397" s="122" t="s">
        <v>588</v>
      </c>
      <c r="K397" s="126">
        <v>46061</v>
      </c>
      <c r="L397" s="123">
        <f t="shared" ca="1" si="41"/>
        <v>46106</v>
      </c>
      <c r="M397" s="135">
        <v>36</v>
      </c>
      <c r="N397" s="150">
        <f t="shared" ca="1" si="42"/>
        <v>-1.5</v>
      </c>
      <c r="O397" s="151">
        <f t="shared" ca="1" si="39"/>
        <v>-4.1666666666666664E-2</v>
      </c>
      <c r="P397" s="8"/>
      <c r="Q397" s="129"/>
      <c r="R397" s="144" t="s">
        <v>670</v>
      </c>
    </row>
    <row r="398" spans="1:18" ht="24.95" customHeight="1">
      <c r="A398" s="8" t="s">
        <v>640</v>
      </c>
      <c r="B398" s="8" t="s">
        <v>665</v>
      </c>
      <c r="C398" s="122" t="s">
        <v>641</v>
      </c>
      <c r="D398" s="138">
        <v>8809491946185</v>
      </c>
      <c r="E398" s="133" t="s">
        <v>9</v>
      </c>
      <c r="F398" s="134" t="str">
        <f t="shared" si="38"/>
        <v>GLAMRR Q</v>
      </c>
      <c r="G398" s="134">
        <v>3</v>
      </c>
      <c r="H398" s="134"/>
      <c r="I398" s="147">
        <f t="shared" si="40"/>
        <v>3</v>
      </c>
      <c r="J398" s="122" t="s">
        <v>588</v>
      </c>
      <c r="K398" s="126">
        <v>46061</v>
      </c>
      <c r="L398" s="123">
        <f t="shared" ca="1" si="41"/>
        <v>46106</v>
      </c>
      <c r="M398" s="135">
        <v>36</v>
      </c>
      <c r="N398" s="150">
        <f t="shared" ca="1" si="42"/>
        <v>-1.5</v>
      </c>
      <c r="O398" s="151">
        <f t="shared" ref="O398:O461" ca="1" si="43">N398/M398</f>
        <v>-4.1666666666666664E-2</v>
      </c>
      <c r="P398" s="8"/>
      <c r="Q398" s="129"/>
      <c r="R398" s="144" t="s">
        <v>670</v>
      </c>
    </row>
    <row r="399" spans="1:18" ht="24.95" customHeight="1">
      <c r="A399" s="8" t="s">
        <v>640</v>
      </c>
      <c r="B399" s="8" t="s">
        <v>665</v>
      </c>
      <c r="C399" s="122" t="s">
        <v>641</v>
      </c>
      <c r="D399" s="138">
        <v>8809491946185</v>
      </c>
      <c r="E399" s="133" t="s">
        <v>9</v>
      </c>
      <c r="F399" s="134" t="str">
        <f t="shared" si="38"/>
        <v>GLAMRR Q</v>
      </c>
      <c r="G399" s="134">
        <v>20</v>
      </c>
      <c r="H399" s="134"/>
      <c r="I399" s="147">
        <f t="shared" si="40"/>
        <v>20</v>
      </c>
      <c r="J399" s="122" t="s">
        <v>538</v>
      </c>
      <c r="K399" s="126">
        <v>46221</v>
      </c>
      <c r="L399" s="123">
        <f t="shared" ca="1" si="41"/>
        <v>46106</v>
      </c>
      <c r="M399" s="135">
        <v>36</v>
      </c>
      <c r="N399" s="150">
        <f t="shared" ca="1" si="42"/>
        <v>3.8333333333333335</v>
      </c>
      <c r="O399" s="151">
        <f t="shared" ca="1" si="43"/>
        <v>0.10648148148148148</v>
      </c>
      <c r="P399" s="8"/>
      <c r="Q399" s="129"/>
      <c r="R399" s="144" t="s">
        <v>670</v>
      </c>
    </row>
    <row r="400" spans="1:18" ht="24.95" customHeight="1">
      <c r="A400" s="8" t="s">
        <v>640</v>
      </c>
      <c r="B400" s="8" t="s">
        <v>665</v>
      </c>
      <c r="C400" s="122" t="s">
        <v>641</v>
      </c>
      <c r="D400" s="138">
        <v>8809491946185</v>
      </c>
      <c r="E400" s="133" t="s">
        <v>9</v>
      </c>
      <c r="F400" s="134" t="str">
        <f t="shared" si="38"/>
        <v>GLAMRR Q</v>
      </c>
      <c r="G400" s="134">
        <v>6</v>
      </c>
      <c r="H400" s="134"/>
      <c r="I400" s="147">
        <f t="shared" si="40"/>
        <v>6</v>
      </c>
      <c r="J400" s="122" t="s">
        <v>538</v>
      </c>
      <c r="K400" s="126">
        <v>46349</v>
      </c>
      <c r="L400" s="123">
        <f t="shared" ca="1" si="41"/>
        <v>46106</v>
      </c>
      <c r="M400" s="135">
        <v>36</v>
      </c>
      <c r="N400" s="150">
        <f t="shared" ca="1" si="42"/>
        <v>8.1</v>
      </c>
      <c r="O400" s="151">
        <f t="shared" ca="1" si="43"/>
        <v>0.22499999999999998</v>
      </c>
      <c r="P400" s="8"/>
      <c r="Q400" s="129"/>
      <c r="R400" s="144" t="s">
        <v>670</v>
      </c>
    </row>
    <row r="401" spans="1:18" ht="24.95" customHeight="1">
      <c r="A401" s="8" t="s">
        <v>640</v>
      </c>
      <c r="B401" s="8" t="s">
        <v>665</v>
      </c>
      <c r="C401" s="122" t="s">
        <v>641</v>
      </c>
      <c r="D401" s="138">
        <v>8809491946192</v>
      </c>
      <c r="E401" s="133" t="s">
        <v>10</v>
      </c>
      <c r="F401" s="134" t="str">
        <f t="shared" si="38"/>
        <v>GLAMRR Q</v>
      </c>
      <c r="G401" s="134">
        <v>24</v>
      </c>
      <c r="H401" s="134"/>
      <c r="I401" s="147">
        <f t="shared" si="40"/>
        <v>24</v>
      </c>
      <c r="J401" s="122" t="s">
        <v>538</v>
      </c>
      <c r="K401" s="126">
        <v>46472</v>
      </c>
      <c r="L401" s="123">
        <f t="shared" ca="1" si="41"/>
        <v>46106</v>
      </c>
      <c r="M401" s="135">
        <v>36</v>
      </c>
      <c r="N401" s="150">
        <f t="shared" ca="1" si="42"/>
        <v>12.2</v>
      </c>
      <c r="O401" s="151">
        <f t="shared" ca="1" si="43"/>
        <v>0.33888888888888885</v>
      </c>
      <c r="P401" s="8"/>
      <c r="Q401" s="129"/>
      <c r="R401" s="144" t="s">
        <v>670</v>
      </c>
    </row>
    <row r="402" spans="1:18" ht="24.95" customHeight="1">
      <c r="A402" s="8" t="s">
        <v>640</v>
      </c>
      <c r="B402" s="8" t="s">
        <v>665</v>
      </c>
      <c r="C402" s="122" t="s">
        <v>641</v>
      </c>
      <c r="D402" s="138">
        <v>8809491946192</v>
      </c>
      <c r="E402" s="133" t="s">
        <v>10</v>
      </c>
      <c r="F402" s="134" t="str">
        <f t="shared" si="38"/>
        <v>GLAMRR Q</v>
      </c>
      <c r="G402" s="134">
        <v>8</v>
      </c>
      <c r="H402" s="134"/>
      <c r="I402" s="147">
        <f t="shared" si="40"/>
        <v>8</v>
      </c>
      <c r="J402" s="122" t="s">
        <v>538</v>
      </c>
      <c r="K402" s="126">
        <v>46313</v>
      </c>
      <c r="L402" s="123">
        <f t="shared" ca="1" si="41"/>
        <v>46106</v>
      </c>
      <c r="M402" s="135">
        <v>36</v>
      </c>
      <c r="N402" s="150">
        <f t="shared" ca="1" si="42"/>
        <v>6.9</v>
      </c>
      <c r="O402" s="151">
        <f t="shared" ca="1" si="43"/>
        <v>0.19166666666666668</v>
      </c>
      <c r="P402" s="8"/>
      <c r="Q402" s="129"/>
      <c r="R402" s="144" t="s">
        <v>670</v>
      </c>
    </row>
    <row r="403" spans="1:18" ht="24.95" customHeight="1">
      <c r="A403" s="8" t="s">
        <v>640</v>
      </c>
      <c r="B403" s="8" t="s">
        <v>665</v>
      </c>
      <c r="C403" s="122" t="s">
        <v>641</v>
      </c>
      <c r="D403" s="138">
        <v>8809491946208</v>
      </c>
      <c r="E403" s="133" t="s">
        <v>11</v>
      </c>
      <c r="F403" s="134" t="str">
        <f t="shared" si="38"/>
        <v>GLAMRR Q</v>
      </c>
      <c r="G403" s="134">
        <v>7</v>
      </c>
      <c r="H403" s="134"/>
      <c r="I403" s="147">
        <f t="shared" si="40"/>
        <v>7</v>
      </c>
      <c r="J403" s="122" t="s">
        <v>538</v>
      </c>
      <c r="K403" s="126">
        <v>46349</v>
      </c>
      <c r="L403" s="123">
        <f t="shared" ca="1" si="41"/>
        <v>46106</v>
      </c>
      <c r="M403" s="135">
        <v>36</v>
      </c>
      <c r="N403" s="150">
        <f t="shared" ca="1" si="42"/>
        <v>8.1</v>
      </c>
      <c r="O403" s="151">
        <f t="shared" ca="1" si="43"/>
        <v>0.22499999999999998</v>
      </c>
      <c r="P403" s="8"/>
      <c r="Q403" s="129"/>
      <c r="R403" s="144" t="s">
        <v>670</v>
      </c>
    </row>
    <row r="404" spans="1:18" ht="24.95" customHeight="1">
      <c r="A404" s="8" t="s">
        <v>640</v>
      </c>
      <c r="B404" s="8" t="s">
        <v>665</v>
      </c>
      <c r="C404" s="122" t="s">
        <v>641</v>
      </c>
      <c r="D404" s="138">
        <v>8809491946215</v>
      </c>
      <c r="E404" s="133" t="s">
        <v>12</v>
      </c>
      <c r="F404" s="134" t="str">
        <f t="shared" si="38"/>
        <v>GLAMRR Q</v>
      </c>
      <c r="G404" s="134">
        <v>26</v>
      </c>
      <c r="H404" s="134"/>
      <c r="I404" s="147">
        <f t="shared" si="40"/>
        <v>26</v>
      </c>
      <c r="J404" s="122" t="s">
        <v>538</v>
      </c>
      <c r="K404" s="126">
        <v>46325</v>
      </c>
      <c r="L404" s="123">
        <f t="shared" ca="1" si="41"/>
        <v>46106</v>
      </c>
      <c r="M404" s="135">
        <v>36</v>
      </c>
      <c r="N404" s="150">
        <f t="shared" ca="1" si="42"/>
        <v>7.3</v>
      </c>
      <c r="O404" s="151">
        <f t="shared" ca="1" si="43"/>
        <v>0.20277777777777778</v>
      </c>
      <c r="P404" s="8"/>
      <c r="Q404" s="129"/>
      <c r="R404" s="144" t="s">
        <v>670</v>
      </c>
    </row>
    <row r="405" spans="1:18" ht="24.95" customHeight="1">
      <c r="A405" s="8" t="s">
        <v>640</v>
      </c>
      <c r="B405" s="8" t="s">
        <v>665</v>
      </c>
      <c r="C405" s="122" t="s">
        <v>641</v>
      </c>
      <c r="D405" s="138">
        <v>8809491946222</v>
      </c>
      <c r="E405" s="133" t="s">
        <v>13</v>
      </c>
      <c r="F405" s="134" t="str">
        <f t="shared" si="38"/>
        <v>GLAMRR Q</v>
      </c>
      <c r="G405" s="134">
        <v>11</v>
      </c>
      <c r="H405" s="134"/>
      <c r="I405" s="147">
        <f t="shared" si="40"/>
        <v>11</v>
      </c>
      <c r="J405" s="122" t="s">
        <v>538</v>
      </c>
      <c r="K405" s="126">
        <v>46275</v>
      </c>
      <c r="L405" s="123">
        <f t="shared" ca="1" si="41"/>
        <v>46106</v>
      </c>
      <c r="M405" s="135">
        <v>36</v>
      </c>
      <c r="N405" s="150">
        <f t="shared" ca="1" si="42"/>
        <v>5.6333333333333337</v>
      </c>
      <c r="O405" s="151">
        <f t="shared" ca="1" si="43"/>
        <v>0.1564814814814815</v>
      </c>
      <c r="P405" s="8"/>
      <c r="Q405" s="129"/>
      <c r="R405" s="144" t="s">
        <v>670</v>
      </c>
    </row>
    <row r="406" spans="1:18" ht="24.95" customHeight="1">
      <c r="A406" s="8" t="s">
        <v>640</v>
      </c>
      <c r="B406" s="8" t="s">
        <v>665</v>
      </c>
      <c r="C406" s="122" t="s">
        <v>641</v>
      </c>
      <c r="D406" s="138">
        <v>8809491946222</v>
      </c>
      <c r="E406" s="133" t="s">
        <v>13</v>
      </c>
      <c r="F406" s="134" t="str">
        <f t="shared" si="38"/>
        <v>GLAMRR Q</v>
      </c>
      <c r="G406" s="134">
        <v>3</v>
      </c>
      <c r="H406" s="134"/>
      <c r="I406" s="147">
        <f t="shared" si="40"/>
        <v>3</v>
      </c>
      <c r="J406" s="122" t="s">
        <v>538</v>
      </c>
      <c r="K406" s="126">
        <v>46472</v>
      </c>
      <c r="L406" s="123">
        <f t="shared" ca="1" si="41"/>
        <v>46106</v>
      </c>
      <c r="M406" s="135">
        <v>36</v>
      </c>
      <c r="N406" s="150">
        <f t="shared" ca="1" si="42"/>
        <v>12.2</v>
      </c>
      <c r="O406" s="151">
        <f t="shared" ca="1" si="43"/>
        <v>0.33888888888888885</v>
      </c>
      <c r="P406" s="8"/>
      <c r="Q406" s="129"/>
      <c r="R406" s="144" t="s">
        <v>670</v>
      </c>
    </row>
    <row r="407" spans="1:18" ht="24.95" customHeight="1">
      <c r="A407" s="8" t="s">
        <v>640</v>
      </c>
      <c r="B407" s="8" t="s">
        <v>665</v>
      </c>
      <c r="C407" s="122" t="s">
        <v>641</v>
      </c>
      <c r="D407" s="138">
        <v>8809491946239</v>
      </c>
      <c r="E407" s="133" t="s">
        <v>14</v>
      </c>
      <c r="F407" s="134" t="str">
        <f t="shared" si="38"/>
        <v>GLAMRR Q</v>
      </c>
      <c r="G407" s="134">
        <v>21</v>
      </c>
      <c r="H407" s="134"/>
      <c r="I407" s="147">
        <f t="shared" si="40"/>
        <v>21</v>
      </c>
      <c r="J407" s="122" t="s">
        <v>538</v>
      </c>
      <c r="K407" s="126">
        <v>46200</v>
      </c>
      <c r="L407" s="123">
        <f t="shared" ca="1" si="41"/>
        <v>46106</v>
      </c>
      <c r="M407" s="135">
        <v>36</v>
      </c>
      <c r="N407" s="150">
        <f t="shared" ca="1" si="42"/>
        <v>3.1333333333333333</v>
      </c>
      <c r="O407" s="151">
        <f t="shared" ca="1" si="43"/>
        <v>8.7037037037037038E-2</v>
      </c>
      <c r="P407" s="8"/>
      <c r="Q407" s="129"/>
      <c r="R407" s="144" t="s">
        <v>670</v>
      </c>
    </row>
    <row r="408" spans="1:18" ht="24.95" customHeight="1">
      <c r="A408" s="8" t="s">
        <v>640</v>
      </c>
      <c r="B408" s="8" t="s">
        <v>665</v>
      </c>
      <c r="C408" s="122" t="s">
        <v>641</v>
      </c>
      <c r="D408" s="138">
        <v>8809491946239</v>
      </c>
      <c r="E408" s="133" t="s">
        <v>14</v>
      </c>
      <c r="F408" s="134" t="str">
        <f t="shared" si="38"/>
        <v>GLAMRR Q</v>
      </c>
      <c r="G408" s="134">
        <v>1</v>
      </c>
      <c r="H408" s="134"/>
      <c r="I408" s="147">
        <f t="shared" si="40"/>
        <v>1</v>
      </c>
      <c r="J408" s="122" t="s">
        <v>538</v>
      </c>
      <c r="K408" s="126">
        <v>46472</v>
      </c>
      <c r="L408" s="123">
        <f t="shared" ca="1" si="41"/>
        <v>46106</v>
      </c>
      <c r="M408" s="135">
        <v>36</v>
      </c>
      <c r="N408" s="150">
        <f t="shared" ca="1" si="42"/>
        <v>12.2</v>
      </c>
      <c r="O408" s="151">
        <f t="shared" ca="1" si="43"/>
        <v>0.33888888888888885</v>
      </c>
      <c r="P408" s="8"/>
      <c r="Q408" s="129"/>
      <c r="R408" s="144" t="s">
        <v>670</v>
      </c>
    </row>
    <row r="409" spans="1:18" ht="24.95" customHeight="1">
      <c r="A409" s="8" t="s">
        <v>640</v>
      </c>
      <c r="B409" s="8" t="s">
        <v>665</v>
      </c>
      <c r="C409" s="122" t="s">
        <v>641</v>
      </c>
      <c r="D409" s="138">
        <v>8809491946246</v>
      </c>
      <c r="E409" s="133" t="s">
        <v>15</v>
      </c>
      <c r="F409" s="134" t="str">
        <f t="shared" si="38"/>
        <v>GLAMRR Q</v>
      </c>
      <c r="G409" s="134">
        <v>3</v>
      </c>
      <c r="H409" s="134"/>
      <c r="I409" s="147">
        <f t="shared" si="40"/>
        <v>3</v>
      </c>
      <c r="J409" s="122" t="s">
        <v>588</v>
      </c>
      <c r="K409" s="126">
        <v>46062</v>
      </c>
      <c r="L409" s="123">
        <f t="shared" ca="1" si="41"/>
        <v>46106</v>
      </c>
      <c r="M409" s="135">
        <v>36</v>
      </c>
      <c r="N409" s="150">
        <f t="shared" ca="1" si="42"/>
        <v>-1.4666666666666666</v>
      </c>
      <c r="O409" s="151">
        <f t="shared" ca="1" si="43"/>
        <v>-4.0740740740740737E-2</v>
      </c>
      <c r="P409" s="8"/>
      <c r="Q409" s="129"/>
      <c r="R409" s="144" t="s">
        <v>670</v>
      </c>
    </row>
    <row r="410" spans="1:18" ht="24.95" customHeight="1">
      <c r="A410" s="8" t="s">
        <v>640</v>
      </c>
      <c r="B410" s="8" t="s">
        <v>665</v>
      </c>
      <c r="C410" s="122" t="s">
        <v>641</v>
      </c>
      <c r="D410" s="138">
        <v>8809491946246</v>
      </c>
      <c r="E410" s="133" t="s">
        <v>15</v>
      </c>
      <c r="F410" s="134" t="str">
        <f t="shared" si="38"/>
        <v>GLAMRR Q</v>
      </c>
      <c r="G410" s="134">
        <v>23</v>
      </c>
      <c r="H410" s="134"/>
      <c r="I410" s="147">
        <f t="shared" si="40"/>
        <v>23</v>
      </c>
      <c r="J410" s="122" t="s">
        <v>538</v>
      </c>
      <c r="K410" s="126">
        <v>46368</v>
      </c>
      <c r="L410" s="123">
        <f t="shared" ca="1" si="41"/>
        <v>46106</v>
      </c>
      <c r="M410" s="135">
        <v>36</v>
      </c>
      <c r="N410" s="150">
        <f t="shared" ca="1" si="42"/>
        <v>8.7333333333333325</v>
      </c>
      <c r="O410" s="151">
        <f t="shared" ca="1" si="43"/>
        <v>0.24259259259259258</v>
      </c>
      <c r="P410" s="8"/>
      <c r="Q410" s="129"/>
      <c r="R410" s="144" t="s">
        <v>670</v>
      </c>
    </row>
    <row r="411" spans="1:18" ht="24.95" customHeight="1">
      <c r="A411" s="8" t="s">
        <v>640</v>
      </c>
      <c r="B411" s="8" t="s">
        <v>665</v>
      </c>
      <c r="C411" s="122" t="s">
        <v>641</v>
      </c>
      <c r="D411" s="138">
        <v>8809491946253</v>
      </c>
      <c r="E411" s="133" t="s">
        <v>16</v>
      </c>
      <c r="F411" s="134" t="str">
        <f t="shared" si="38"/>
        <v>GLAMRR Q</v>
      </c>
      <c r="G411" s="134">
        <v>5</v>
      </c>
      <c r="H411" s="134"/>
      <c r="I411" s="147">
        <f t="shared" si="40"/>
        <v>5</v>
      </c>
      <c r="J411" s="122" t="s">
        <v>588</v>
      </c>
      <c r="K411" s="126">
        <v>46062</v>
      </c>
      <c r="L411" s="123">
        <f t="shared" ca="1" si="41"/>
        <v>46106</v>
      </c>
      <c r="M411" s="135">
        <v>36</v>
      </c>
      <c r="N411" s="150">
        <f t="shared" ca="1" si="42"/>
        <v>-1.4666666666666666</v>
      </c>
      <c r="O411" s="151">
        <f t="shared" ca="1" si="43"/>
        <v>-4.0740740740740737E-2</v>
      </c>
      <c r="P411" s="8"/>
      <c r="Q411" s="129"/>
      <c r="R411" s="144" t="s">
        <v>670</v>
      </c>
    </row>
    <row r="412" spans="1:18" ht="24.95" customHeight="1">
      <c r="A412" s="8" t="s">
        <v>640</v>
      </c>
      <c r="B412" s="8" t="s">
        <v>665</v>
      </c>
      <c r="C412" s="122" t="s">
        <v>641</v>
      </c>
      <c r="D412" s="138">
        <v>8809491946253</v>
      </c>
      <c r="E412" s="133" t="s">
        <v>16</v>
      </c>
      <c r="F412" s="134" t="str">
        <f t="shared" si="38"/>
        <v>GLAMRR Q</v>
      </c>
      <c r="G412" s="134">
        <v>9</v>
      </c>
      <c r="H412" s="134"/>
      <c r="I412" s="147">
        <f t="shared" si="40"/>
        <v>9</v>
      </c>
      <c r="J412" s="122" t="s">
        <v>538</v>
      </c>
      <c r="K412" s="126">
        <v>46352</v>
      </c>
      <c r="L412" s="123">
        <f t="shared" ca="1" si="41"/>
        <v>46106</v>
      </c>
      <c r="M412" s="135">
        <v>36</v>
      </c>
      <c r="N412" s="150">
        <f t="shared" ca="1" si="42"/>
        <v>8.1999999999999993</v>
      </c>
      <c r="O412" s="151">
        <f t="shared" ca="1" si="43"/>
        <v>0.22777777777777775</v>
      </c>
      <c r="P412" s="8"/>
      <c r="Q412" s="129"/>
      <c r="R412" s="144" t="s">
        <v>670</v>
      </c>
    </row>
    <row r="413" spans="1:18" ht="24.95" customHeight="1">
      <c r="A413" s="8" t="s">
        <v>640</v>
      </c>
      <c r="B413" s="8" t="s">
        <v>665</v>
      </c>
      <c r="C413" s="122" t="s">
        <v>641</v>
      </c>
      <c r="D413" s="138">
        <v>8809491946260</v>
      </c>
      <c r="E413" s="133" t="s">
        <v>17</v>
      </c>
      <c r="F413" s="134" t="str">
        <f t="shared" si="38"/>
        <v>GLAMRR Q</v>
      </c>
      <c r="G413" s="134">
        <v>23</v>
      </c>
      <c r="H413" s="134"/>
      <c r="I413" s="147">
        <f t="shared" si="40"/>
        <v>23</v>
      </c>
      <c r="J413" s="122" t="s">
        <v>588</v>
      </c>
      <c r="K413" s="126">
        <v>46062</v>
      </c>
      <c r="L413" s="123">
        <f t="shared" ca="1" si="41"/>
        <v>46106</v>
      </c>
      <c r="M413" s="135">
        <v>36</v>
      </c>
      <c r="N413" s="150">
        <f t="shared" ca="1" si="42"/>
        <v>-1.4666666666666666</v>
      </c>
      <c r="O413" s="151">
        <f t="shared" ca="1" si="43"/>
        <v>-4.0740740740740737E-2</v>
      </c>
      <c r="P413" s="8"/>
      <c r="Q413" s="129"/>
      <c r="R413" s="144" t="s">
        <v>670</v>
      </c>
    </row>
    <row r="414" spans="1:18" ht="24.95" customHeight="1">
      <c r="A414" s="8" t="s">
        <v>640</v>
      </c>
      <c r="B414" s="8" t="s">
        <v>665</v>
      </c>
      <c r="C414" s="122" t="s">
        <v>641</v>
      </c>
      <c r="D414" s="138">
        <v>8809491946260</v>
      </c>
      <c r="E414" s="133" t="s">
        <v>17</v>
      </c>
      <c r="F414" s="134" t="str">
        <f t="shared" si="38"/>
        <v>GLAMRR Q</v>
      </c>
      <c r="G414" s="134">
        <v>21</v>
      </c>
      <c r="H414" s="134"/>
      <c r="I414" s="147">
        <f t="shared" si="40"/>
        <v>21</v>
      </c>
      <c r="J414" s="122" t="s">
        <v>538</v>
      </c>
      <c r="K414" s="126">
        <v>46325</v>
      </c>
      <c r="L414" s="123">
        <f t="shared" ca="1" si="41"/>
        <v>46106</v>
      </c>
      <c r="M414" s="135">
        <v>36</v>
      </c>
      <c r="N414" s="150">
        <f t="shared" ca="1" si="42"/>
        <v>7.3</v>
      </c>
      <c r="O414" s="151">
        <f t="shared" ca="1" si="43"/>
        <v>0.20277777777777778</v>
      </c>
      <c r="P414" s="8"/>
      <c r="Q414" s="129"/>
      <c r="R414" s="144" t="s">
        <v>670</v>
      </c>
    </row>
    <row r="415" spans="1:18" ht="24.95" customHeight="1">
      <c r="A415" s="8" t="s">
        <v>640</v>
      </c>
      <c r="B415" s="8" t="s">
        <v>665</v>
      </c>
      <c r="C415" s="122" t="s">
        <v>641</v>
      </c>
      <c r="D415" s="138">
        <v>8809491946277</v>
      </c>
      <c r="E415" s="133" t="s">
        <v>18</v>
      </c>
      <c r="F415" s="134" t="str">
        <f t="shared" si="38"/>
        <v>GLAMRR Q</v>
      </c>
      <c r="G415" s="134">
        <v>6</v>
      </c>
      <c r="H415" s="134"/>
      <c r="I415" s="147">
        <f t="shared" si="40"/>
        <v>6</v>
      </c>
      <c r="J415" s="122" t="s">
        <v>588</v>
      </c>
      <c r="K415" s="126">
        <v>46063</v>
      </c>
      <c r="L415" s="123">
        <f t="shared" ca="1" si="41"/>
        <v>46106</v>
      </c>
      <c r="M415" s="135">
        <v>36</v>
      </c>
      <c r="N415" s="150">
        <f t="shared" ca="1" si="42"/>
        <v>-1.4333333333333333</v>
      </c>
      <c r="O415" s="151">
        <f t="shared" ca="1" si="43"/>
        <v>-3.9814814814814817E-2</v>
      </c>
      <c r="P415" s="8"/>
      <c r="Q415" s="129"/>
      <c r="R415" s="144" t="s">
        <v>670</v>
      </c>
    </row>
    <row r="416" spans="1:18" ht="24.95" customHeight="1">
      <c r="A416" s="8" t="s">
        <v>640</v>
      </c>
      <c r="B416" s="8" t="s">
        <v>665</v>
      </c>
      <c r="C416" s="122" t="s">
        <v>641</v>
      </c>
      <c r="D416" s="138">
        <v>8809783326770</v>
      </c>
      <c r="E416" s="133" t="s">
        <v>601</v>
      </c>
      <c r="F416" s="134" t="str">
        <f t="shared" si="38"/>
        <v>GLAMRR Q</v>
      </c>
      <c r="G416" s="134">
        <v>1</v>
      </c>
      <c r="H416" s="134"/>
      <c r="I416" s="147">
        <f t="shared" si="40"/>
        <v>1</v>
      </c>
      <c r="J416" s="122" t="s">
        <v>538</v>
      </c>
      <c r="K416" s="126">
        <v>46484</v>
      </c>
      <c r="L416" s="123">
        <f t="shared" ca="1" si="41"/>
        <v>46106</v>
      </c>
      <c r="M416" s="135">
        <v>36</v>
      </c>
      <c r="N416" s="150">
        <f t="shared" ca="1" si="42"/>
        <v>12.6</v>
      </c>
      <c r="O416" s="151">
        <f t="shared" ca="1" si="43"/>
        <v>0.35</v>
      </c>
      <c r="P416" s="8"/>
      <c r="Q416" s="129"/>
      <c r="R416" s="144" t="s">
        <v>670</v>
      </c>
    </row>
    <row r="417" spans="1:18" ht="24.95" customHeight="1">
      <c r="A417" s="8" t="s">
        <v>640</v>
      </c>
      <c r="B417" s="8" t="s">
        <v>665</v>
      </c>
      <c r="C417" s="122" t="s">
        <v>641</v>
      </c>
      <c r="D417" s="138">
        <v>8809783326787</v>
      </c>
      <c r="E417" s="133" t="s">
        <v>602</v>
      </c>
      <c r="F417" s="134" t="str">
        <f t="shared" si="38"/>
        <v>GLAMRR Q</v>
      </c>
      <c r="G417" s="134">
        <v>13</v>
      </c>
      <c r="H417" s="134"/>
      <c r="I417" s="147">
        <f t="shared" si="40"/>
        <v>13</v>
      </c>
      <c r="J417" s="122" t="s">
        <v>538</v>
      </c>
      <c r="K417" s="126">
        <v>46352</v>
      </c>
      <c r="L417" s="123">
        <f t="shared" ca="1" si="41"/>
        <v>46106</v>
      </c>
      <c r="M417" s="135">
        <v>36</v>
      </c>
      <c r="N417" s="150">
        <f t="shared" ca="1" si="42"/>
        <v>8.1999999999999993</v>
      </c>
      <c r="O417" s="151">
        <f t="shared" ca="1" si="43"/>
        <v>0.22777777777777775</v>
      </c>
      <c r="P417" s="8"/>
      <c r="Q417" s="129"/>
      <c r="R417" s="144" t="s">
        <v>670</v>
      </c>
    </row>
    <row r="418" spans="1:18" ht="24.95" customHeight="1">
      <c r="A418" s="8" t="s">
        <v>640</v>
      </c>
      <c r="B418" s="8" t="s">
        <v>665</v>
      </c>
      <c r="C418" s="122" t="s">
        <v>641</v>
      </c>
      <c r="D418" s="138">
        <v>8809783326787</v>
      </c>
      <c r="E418" s="133" t="s">
        <v>602</v>
      </c>
      <c r="F418" s="134" t="str">
        <f t="shared" si="38"/>
        <v>GLAMRR Q</v>
      </c>
      <c r="G418" s="134">
        <v>6</v>
      </c>
      <c r="H418" s="134"/>
      <c r="I418" s="147">
        <f t="shared" si="40"/>
        <v>6</v>
      </c>
      <c r="J418" s="122" t="s">
        <v>538</v>
      </c>
      <c r="K418" s="126">
        <v>46310</v>
      </c>
      <c r="L418" s="123">
        <f t="shared" ca="1" si="41"/>
        <v>46106</v>
      </c>
      <c r="M418" s="135">
        <v>36</v>
      </c>
      <c r="N418" s="150">
        <f t="shared" ca="1" si="42"/>
        <v>6.8</v>
      </c>
      <c r="O418" s="151">
        <f t="shared" ca="1" si="43"/>
        <v>0.18888888888888888</v>
      </c>
      <c r="P418" s="8"/>
      <c r="Q418" s="129"/>
      <c r="R418" s="144" t="s">
        <v>670</v>
      </c>
    </row>
    <row r="419" spans="1:18" ht="24.95" customHeight="1">
      <c r="A419" s="8" t="s">
        <v>640</v>
      </c>
      <c r="B419" s="8" t="s">
        <v>665</v>
      </c>
      <c r="C419" s="122" t="s">
        <v>641</v>
      </c>
      <c r="D419" s="138">
        <v>8809783326787</v>
      </c>
      <c r="E419" s="133" t="s">
        <v>602</v>
      </c>
      <c r="F419" s="134" t="str">
        <f t="shared" si="38"/>
        <v>GLAMRR Q</v>
      </c>
      <c r="G419" s="134">
        <v>3</v>
      </c>
      <c r="H419" s="134"/>
      <c r="I419" s="147">
        <f t="shared" si="40"/>
        <v>3</v>
      </c>
      <c r="J419" s="122" t="s">
        <v>538</v>
      </c>
      <c r="K419" s="126">
        <v>46488</v>
      </c>
      <c r="L419" s="123">
        <f t="shared" ca="1" si="41"/>
        <v>46106</v>
      </c>
      <c r="M419" s="135">
        <v>36</v>
      </c>
      <c r="N419" s="150">
        <f t="shared" ca="1" si="42"/>
        <v>12.733333333333333</v>
      </c>
      <c r="O419" s="151">
        <f t="shared" ca="1" si="43"/>
        <v>0.35370370370370369</v>
      </c>
      <c r="P419" s="8"/>
      <c r="Q419" s="129"/>
      <c r="R419" s="144" t="s">
        <v>670</v>
      </c>
    </row>
    <row r="420" spans="1:18" ht="24.95" customHeight="1">
      <c r="A420" s="8" t="s">
        <v>640</v>
      </c>
      <c r="B420" s="8" t="s">
        <v>665</v>
      </c>
      <c r="C420" s="122" t="s">
        <v>641</v>
      </c>
      <c r="D420" s="138">
        <v>8809783326794</v>
      </c>
      <c r="E420" s="133" t="s">
        <v>603</v>
      </c>
      <c r="F420" s="134" t="str">
        <f t="shared" si="38"/>
        <v>GLAMRR Q</v>
      </c>
      <c r="G420" s="134">
        <v>23</v>
      </c>
      <c r="H420" s="134"/>
      <c r="I420" s="147">
        <f t="shared" si="40"/>
        <v>23</v>
      </c>
      <c r="J420" s="122" t="s">
        <v>538</v>
      </c>
      <c r="K420" s="126">
        <v>46306</v>
      </c>
      <c r="L420" s="123">
        <f t="shared" ca="1" si="41"/>
        <v>46106</v>
      </c>
      <c r="M420" s="135">
        <v>36</v>
      </c>
      <c r="N420" s="150">
        <f t="shared" ca="1" si="42"/>
        <v>6.666666666666667</v>
      </c>
      <c r="O420" s="151">
        <f t="shared" ca="1" si="43"/>
        <v>0.1851851851851852</v>
      </c>
      <c r="P420" s="8"/>
      <c r="Q420" s="129"/>
      <c r="R420" s="144" t="s">
        <v>670</v>
      </c>
    </row>
    <row r="421" spans="1:18" ht="24.95" customHeight="1">
      <c r="A421" s="8" t="s">
        <v>640</v>
      </c>
      <c r="B421" s="8" t="s">
        <v>665</v>
      </c>
      <c r="C421" s="122" t="s">
        <v>641</v>
      </c>
      <c r="D421" s="138">
        <v>8809783326800</v>
      </c>
      <c r="E421" s="133" t="s">
        <v>604</v>
      </c>
      <c r="F421" s="134" t="str">
        <f t="shared" si="38"/>
        <v>GLAMRR Q</v>
      </c>
      <c r="G421" s="134">
        <v>24</v>
      </c>
      <c r="H421" s="134"/>
      <c r="I421" s="147">
        <f t="shared" si="40"/>
        <v>24</v>
      </c>
      <c r="J421" s="122" t="s">
        <v>538</v>
      </c>
      <c r="K421" s="126">
        <v>46328</v>
      </c>
      <c r="L421" s="123">
        <f t="shared" ca="1" si="41"/>
        <v>46106</v>
      </c>
      <c r="M421" s="135">
        <v>36</v>
      </c>
      <c r="N421" s="150">
        <f t="shared" ca="1" si="42"/>
        <v>7.4</v>
      </c>
      <c r="O421" s="151">
        <f t="shared" ca="1" si="43"/>
        <v>0.20555555555555557</v>
      </c>
      <c r="P421" s="8"/>
      <c r="Q421" s="129"/>
      <c r="R421" s="144" t="s">
        <v>670</v>
      </c>
    </row>
    <row r="422" spans="1:18" ht="24.95" customHeight="1">
      <c r="A422" s="8" t="s">
        <v>640</v>
      </c>
      <c r="B422" s="8" t="s">
        <v>665</v>
      </c>
      <c r="C422" s="122" t="s">
        <v>641</v>
      </c>
      <c r="D422" s="138">
        <v>8809783326800</v>
      </c>
      <c r="E422" s="133" t="s">
        <v>604</v>
      </c>
      <c r="F422" s="134" t="str">
        <f t="shared" si="38"/>
        <v>GLAMRR Q</v>
      </c>
      <c r="G422" s="134">
        <v>5</v>
      </c>
      <c r="H422" s="134"/>
      <c r="I422" s="147">
        <f t="shared" si="40"/>
        <v>5</v>
      </c>
      <c r="J422" s="122" t="s">
        <v>538</v>
      </c>
      <c r="K422" s="126">
        <v>46488</v>
      </c>
      <c r="L422" s="123">
        <f t="shared" ca="1" si="41"/>
        <v>46106</v>
      </c>
      <c r="M422" s="135">
        <v>36</v>
      </c>
      <c r="N422" s="150">
        <f t="shared" ca="1" si="42"/>
        <v>12.733333333333333</v>
      </c>
      <c r="O422" s="151">
        <f t="shared" ca="1" si="43"/>
        <v>0.35370370370370369</v>
      </c>
      <c r="P422" s="8"/>
      <c r="Q422" s="129"/>
      <c r="R422" s="144" t="s">
        <v>670</v>
      </c>
    </row>
    <row r="423" spans="1:18" ht="24.95" customHeight="1">
      <c r="A423" s="8" t="s">
        <v>640</v>
      </c>
      <c r="B423" s="8" t="s">
        <v>665</v>
      </c>
      <c r="C423" s="122" t="s">
        <v>641</v>
      </c>
      <c r="D423" s="138">
        <v>8809783326800</v>
      </c>
      <c r="E423" s="133" t="s">
        <v>604</v>
      </c>
      <c r="F423" s="134" t="str">
        <f t="shared" si="38"/>
        <v>GLAMRR Q</v>
      </c>
      <c r="G423" s="134">
        <v>1</v>
      </c>
      <c r="H423" s="134"/>
      <c r="I423" s="147">
        <f t="shared" si="40"/>
        <v>1</v>
      </c>
      <c r="J423" s="122" t="s">
        <v>538</v>
      </c>
      <c r="K423" s="126">
        <v>46488</v>
      </c>
      <c r="L423" s="123">
        <f t="shared" ca="1" si="41"/>
        <v>46106</v>
      </c>
      <c r="M423" s="135">
        <v>36</v>
      </c>
      <c r="N423" s="150">
        <f t="shared" ref="N423:N447" ca="1" si="44">(K423-L423)/30</f>
        <v>12.733333333333333</v>
      </c>
      <c r="O423" s="151">
        <f t="shared" ca="1" si="43"/>
        <v>0.35370370370370369</v>
      </c>
      <c r="P423" s="8"/>
      <c r="Q423" s="129"/>
      <c r="R423" s="144" t="s">
        <v>670</v>
      </c>
    </row>
    <row r="424" spans="1:18" ht="24.95" customHeight="1">
      <c r="A424" s="8" t="s">
        <v>640</v>
      </c>
      <c r="B424" s="8" t="s">
        <v>665</v>
      </c>
      <c r="C424" s="122" t="s">
        <v>641</v>
      </c>
      <c r="D424" s="138">
        <v>8809783326817</v>
      </c>
      <c r="E424" s="133" t="s">
        <v>605</v>
      </c>
      <c r="F424" s="134" t="str">
        <f t="shared" si="38"/>
        <v>GLAMRR Q</v>
      </c>
      <c r="G424" s="134">
        <v>13</v>
      </c>
      <c r="H424" s="134"/>
      <c r="I424" s="147">
        <f t="shared" si="40"/>
        <v>13</v>
      </c>
      <c r="J424" s="122" t="s">
        <v>538</v>
      </c>
      <c r="K424" s="126">
        <v>46328</v>
      </c>
      <c r="L424" s="123">
        <f t="shared" ca="1" si="41"/>
        <v>46106</v>
      </c>
      <c r="M424" s="135">
        <v>36</v>
      </c>
      <c r="N424" s="150">
        <f t="shared" ca="1" si="44"/>
        <v>7.4</v>
      </c>
      <c r="O424" s="151">
        <f t="shared" ca="1" si="43"/>
        <v>0.20555555555555557</v>
      </c>
      <c r="P424" s="8"/>
      <c r="Q424" s="129"/>
      <c r="R424" s="144" t="s">
        <v>670</v>
      </c>
    </row>
    <row r="425" spans="1:18" ht="24.95" customHeight="1">
      <c r="A425" s="8" t="s">
        <v>640</v>
      </c>
      <c r="B425" s="8" t="s">
        <v>665</v>
      </c>
      <c r="C425" s="122" t="s">
        <v>641</v>
      </c>
      <c r="D425" s="138">
        <v>8809783326824</v>
      </c>
      <c r="E425" s="133" t="s">
        <v>606</v>
      </c>
      <c r="F425" s="134" t="str">
        <f t="shared" si="38"/>
        <v>GLAMRR Q</v>
      </c>
      <c r="G425" s="134">
        <v>27</v>
      </c>
      <c r="H425" s="134"/>
      <c r="I425" s="147">
        <f t="shared" si="40"/>
        <v>27</v>
      </c>
      <c r="J425" s="122" t="s">
        <v>538</v>
      </c>
      <c r="K425" s="126">
        <v>46488</v>
      </c>
      <c r="L425" s="123">
        <f t="shared" ca="1" si="41"/>
        <v>46106</v>
      </c>
      <c r="M425" s="135">
        <v>36</v>
      </c>
      <c r="N425" s="150">
        <f t="shared" ca="1" si="44"/>
        <v>12.733333333333333</v>
      </c>
      <c r="O425" s="151">
        <f t="shared" ca="1" si="43"/>
        <v>0.35370370370370369</v>
      </c>
      <c r="P425" s="8"/>
      <c r="Q425" s="129"/>
      <c r="R425" s="144" t="s">
        <v>670</v>
      </c>
    </row>
    <row r="426" spans="1:18" ht="24.95" customHeight="1">
      <c r="A426" s="8" t="s">
        <v>640</v>
      </c>
      <c r="B426" s="8" t="s">
        <v>665</v>
      </c>
      <c r="C426" s="122" t="s">
        <v>641</v>
      </c>
      <c r="D426" s="138">
        <v>8809783326824</v>
      </c>
      <c r="E426" s="133" t="s">
        <v>606</v>
      </c>
      <c r="F426" s="134" t="str">
        <f t="shared" si="38"/>
        <v>GLAMRR Q</v>
      </c>
      <c r="G426" s="134">
        <v>15</v>
      </c>
      <c r="H426" s="134"/>
      <c r="I426" s="147">
        <f t="shared" si="40"/>
        <v>15</v>
      </c>
      <c r="J426" s="122" t="s">
        <v>538</v>
      </c>
      <c r="K426" s="126">
        <v>46352</v>
      </c>
      <c r="L426" s="123">
        <f t="shared" ca="1" si="41"/>
        <v>46106</v>
      </c>
      <c r="M426" s="135">
        <v>36</v>
      </c>
      <c r="N426" s="150">
        <f t="shared" ca="1" si="44"/>
        <v>8.1999999999999993</v>
      </c>
      <c r="O426" s="151">
        <f t="shared" ca="1" si="43"/>
        <v>0.22777777777777775</v>
      </c>
      <c r="P426" s="8"/>
      <c r="Q426" s="129"/>
      <c r="R426" s="144" t="s">
        <v>670</v>
      </c>
    </row>
    <row r="427" spans="1:18" ht="24.95" customHeight="1">
      <c r="A427" s="8" t="s">
        <v>640</v>
      </c>
      <c r="B427" s="8" t="s">
        <v>665</v>
      </c>
      <c r="C427" s="122" t="s">
        <v>641</v>
      </c>
      <c r="D427" s="122" t="s">
        <v>607</v>
      </c>
      <c r="E427" s="133" t="s">
        <v>248</v>
      </c>
      <c r="F427" s="134" t="str">
        <f t="shared" si="38"/>
        <v>DE MEMORIA</v>
      </c>
      <c r="G427" s="134">
        <v>4</v>
      </c>
      <c r="H427" s="134"/>
      <c r="I427" s="147">
        <f t="shared" si="40"/>
        <v>4</v>
      </c>
      <c r="J427" s="122" t="s">
        <v>539</v>
      </c>
      <c r="K427" s="125">
        <v>46815</v>
      </c>
      <c r="L427" s="123">
        <f t="shared" ca="1" si="41"/>
        <v>46106</v>
      </c>
      <c r="M427" s="135">
        <v>36</v>
      </c>
      <c r="N427" s="150">
        <f t="shared" ca="1" si="44"/>
        <v>23.633333333333333</v>
      </c>
      <c r="O427" s="151">
        <f t="shared" ca="1" si="43"/>
        <v>0.65648148148148144</v>
      </c>
      <c r="P427" s="8"/>
      <c r="Q427" s="129"/>
      <c r="R427" s="144" t="s">
        <v>670</v>
      </c>
    </row>
    <row r="428" spans="1:18" ht="24.95" customHeight="1">
      <c r="A428" s="8" t="s">
        <v>640</v>
      </c>
      <c r="B428" s="8" t="s">
        <v>665</v>
      </c>
      <c r="C428" s="122" t="s">
        <v>641</v>
      </c>
      <c r="D428" s="122" t="s">
        <v>607</v>
      </c>
      <c r="E428" s="133" t="s">
        <v>248</v>
      </c>
      <c r="F428" s="134" t="str">
        <f t="shared" si="38"/>
        <v>DE MEMORIA</v>
      </c>
      <c r="G428" s="134">
        <v>14</v>
      </c>
      <c r="H428" s="134">
        <v>1</v>
      </c>
      <c r="I428" s="147">
        <f t="shared" si="40"/>
        <v>13</v>
      </c>
      <c r="J428" s="122" t="s">
        <v>538</v>
      </c>
      <c r="K428" s="125">
        <v>46815</v>
      </c>
      <c r="L428" s="123">
        <f t="shared" ca="1" si="41"/>
        <v>46106</v>
      </c>
      <c r="M428" s="135">
        <v>36</v>
      </c>
      <c r="N428" s="150">
        <f t="shared" ca="1" si="44"/>
        <v>23.633333333333333</v>
      </c>
      <c r="O428" s="151">
        <f t="shared" ca="1" si="43"/>
        <v>0.65648148148148144</v>
      </c>
      <c r="P428" s="8"/>
      <c r="Q428" s="129" t="s">
        <v>645</v>
      </c>
      <c r="R428" s="144" t="s">
        <v>670</v>
      </c>
    </row>
    <row r="429" spans="1:18" ht="24.95" customHeight="1">
      <c r="A429" s="8" t="s">
        <v>640</v>
      </c>
      <c r="B429" s="8" t="s">
        <v>665</v>
      </c>
      <c r="C429" s="122" t="s">
        <v>641</v>
      </c>
      <c r="D429" s="122" t="s">
        <v>608</v>
      </c>
      <c r="E429" s="133" t="s">
        <v>249</v>
      </c>
      <c r="F429" s="134" t="str">
        <f t="shared" si="38"/>
        <v>DE MEMORIA</v>
      </c>
      <c r="G429" s="134">
        <v>7</v>
      </c>
      <c r="H429" s="134"/>
      <c r="I429" s="147">
        <f t="shared" si="40"/>
        <v>7</v>
      </c>
      <c r="J429" s="122" t="s">
        <v>539</v>
      </c>
      <c r="K429" s="125">
        <v>46801</v>
      </c>
      <c r="L429" s="123">
        <f t="shared" ca="1" si="41"/>
        <v>46106</v>
      </c>
      <c r="M429" s="135">
        <v>36</v>
      </c>
      <c r="N429" s="150">
        <f t="shared" ca="1" si="44"/>
        <v>23.166666666666668</v>
      </c>
      <c r="O429" s="151">
        <f t="shared" ca="1" si="43"/>
        <v>0.6435185185185186</v>
      </c>
      <c r="P429" s="8"/>
      <c r="Q429" s="129"/>
      <c r="R429" s="144" t="s">
        <v>670</v>
      </c>
    </row>
    <row r="430" spans="1:18" ht="24.95" customHeight="1">
      <c r="A430" s="8" t="s">
        <v>640</v>
      </c>
      <c r="B430" s="8" t="s">
        <v>665</v>
      </c>
      <c r="C430" s="122" t="s">
        <v>641</v>
      </c>
      <c r="D430" s="122" t="s">
        <v>608</v>
      </c>
      <c r="E430" s="133" t="s">
        <v>249</v>
      </c>
      <c r="F430" s="134" t="str">
        <f t="shared" si="38"/>
        <v>DE MEMORIA</v>
      </c>
      <c r="G430" s="134">
        <v>12</v>
      </c>
      <c r="H430" s="134"/>
      <c r="I430" s="147">
        <f t="shared" si="40"/>
        <v>12</v>
      </c>
      <c r="J430" s="122" t="s">
        <v>538</v>
      </c>
      <c r="K430" s="125">
        <v>46801</v>
      </c>
      <c r="L430" s="123">
        <f t="shared" ca="1" si="41"/>
        <v>46106</v>
      </c>
      <c r="M430" s="135">
        <v>36</v>
      </c>
      <c r="N430" s="150">
        <f t="shared" ca="1" si="44"/>
        <v>23.166666666666668</v>
      </c>
      <c r="O430" s="151">
        <f t="shared" ca="1" si="43"/>
        <v>0.6435185185185186</v>
      </c>
      <c r="P430" s="8"/>
      <c r="Q430" s="129"/>
      <c r="R430" s="144" t="s">
        <v>670</v>
      </c>
    </row>
    <row r="431" spans="1:18" ht="24.95" customHeight="1">
      <c r="A431" s="8" t="s">
        <v>640</v>
      </c>
      <c r="B431" s="8" t="s">
        <v>665</v>
      </c>
      <c r="C431" s="122" t="s">
        <v>641</v>
      </c>
      <c r="D431" s="122" t="s">
        <v>608</v>
      </c>
      <c r="E431" s="133" t="s">
        <v>249</v>
      </c>
      <c r="F431" s="134" t="str">
        <f t="shared" si="38"/>
        <v>DE MEMORIA</v>
      </c>
      <c r="G431" s="134">
        <v>7</v>
      </c>
      <c r="H431" s="134"/>
      <c r="I431" s="147">
        <f t="shared" si="40"/>
        <v>7</v>
      </c>
      <c r="J431" s="122" t="s">
        <v>539</v>
      </c>
      <c r="K431" s="125">
        <v>47068</v>
      </c>
      <c r="L431" s="123">
        <f t="shared" ca="1" si="41"/>
        <v>46106</v>
      </c>
      <c r="M431" s="135">
        <v>36</v>
      </c>
      <c r="N431" s="150">
        <f t="shared" ca="1" si="44"/>
        <v>32.06666666666667</v>
      </c>
      <c r="O431" s="151">
        <f t="shared" ca="1" si="43"/>
        <v>0.89074074074074083</v>
      </c>
      <c r="P431" s="8"/>
      <c r="Q431" s="129"/>
      <c r="R431" s="144" t="s">
        <v>670</v>
      </c>
    </row>
    <row r="432" spans="1:18" ht="24.95" customHeight="1">
      <c r="A432" s="8" t="s">
        <v>640</v>
      </c>
      <c r="B432" s="8" t="s">
        <v>665</v>
      </c>
      <c r="C432" s="122" t="s">
        <v>641</v>
      </c>
      <c r="D432" s="122" t="s">
        <v>609</v>
      </c>
      <c r="E432" s="133" t="s">
        <v>250</v>
      </c>
      <c r="F432" s="134" t="str">
        <f t="shared" si="38"/>
        <v>DE MEMORIA</v>
      </c>
      <c r="G432" s="134">
        <v>8</v>
      </c>
      <c r="H432" s="134"/>
      <c r="I432" s="147">
        <f t="shared" si="40"/>
        <v>8</v>
      </c>
      <c r="J432" s="122" t="s">
        <v>539</v>
      </c>
      <c r="K432" s="125">
        <v>46921</v>
      </c>
      <c r="L432" s="123">
        <f t="shared" ca="1" si="41"/>
        <v>46106</v>
      </c>
      <c r="M432" s="135">
        <v>36</v>
      </c>
      <c r="N432" s="150">
        <f t="shared" ca="1" si="44"/>
        <v>27.166666666666668</v>
      </c>
      <c r="O432" s="151">
        <f t="shared" ca="1" si="43"/>
        <v>0.75462962962962965</v>
      </c>
      <c r="P432" s="8"/>
      <c r="Q432" s="129"/>
      <c r="R432" s="144" t="s">
        <v>670</v>
      </c>
    </row>
    <row r="433" spans="1:18" ht="24.95" customHeight="1">
      <c r="A433" s="8" t="s">
        <v>640</v>
      </c>
      <c r="B433" s="8" t="s">
        <v>665</v>
      </c>
      <c r="C433" s="122" t="s">
        <v>641</v>
      </c>
      <c r="D433" s="122" t="s">
        <v>609</v>
      </c>
      <c r="E433" s="133" t="s">
        <v>250</v>
      </c>
      <c r="F433" s="134" t="str">
        <f t="shared" si="38"/>
        <v>DE MEMORIA</v>
      </c>
      <c r="G433" s="134">
        <v>35</v>
      </c>
      <c r="H433" s="134"/>
      <c r="I433" s="147">
        <f t="shared" si="40"/>
        <v>35</v>
      </c>
      <c r="J433" s="122" t="s">
        <v>538</v>
      </c>
      <c r="K433" s="125">
        <v>46921</v>
      </c>
      <c r="L433" s="123">
        <f t="shared" ca="1" si="41"/>
        <v>46106</v>
      </c>
      <c r="M433" s="135">
        <v>36</v>
      </c>
      <c r="N433" s="150">
        <f t="shared" ca="1" si="44"/>
        <v>27.166666666666668</v>
      </c>
      <c r="O433" s="151">
        <f t="shared" ca="1" si="43"/>
        <v>0.75462962962962965</v>
      </c>
      <c r="P433" s="8"/>
      <c r="Q433" s="129"/>
      <c r="R433" s="144" t="s">
        <v>670</v>
      </c>
    </row>
    <row r="434" spans="1:18" ht="24.95" customHeight="1">
      <c r="A434" s="8" t="s">
        <v>640</v>
      </c>
      <c r="B434" s="8" t="s">
        <v>665</v>
      </c>
      <c r="C434" s="122" t="s">
        <v>641</v>
      </c>
      <c r="D434" s="122" t="s">
        <v>609</v>
      </c>
      <c r="E434" s="133" t="s">
        <v>250</v>
      </c>
      <c r="F434" s="134" t="str">
        <f t="shared" si="38"/>
        <v>DE MEMORIA</v>
      </c>
      <c r="G434" s="134">
        <v>3</v>
      </c>
      <c r="H434" s="134"/>
      <c r="I434" s="147">
        <f t="shared" si="40"/>
        <v>3</v>
      </c>
      <c r="J434" s="122" t="s">
        <v>538</v>
      </c>
      <c r="K434" s="125">
        <v>47023</v>
      </c>
      <c r="L434" s="123">
        <f t="shared" ca="1" si="41"/>
        <v>46106</v>
      </c>
      <c r="M434" s="135">
        <v>36</v>
      </c>
      <c r="N434" s="150">
        <f t="shared" ca="1" si="44"/>
        <v>30.566666666666666</v>
      </c>
      <c r="O434" s="151">
        <f t="shared" ca="1" si="43"/>
        <v>0.84907407407407409</v>
      </c>
      <c r="P434" s="8"/>
      <c r="Q434" s="129"/>
      <c r="R434" s="144" t="s">
        <v>670</v>
      </c>
    </row>
    <row r="435" spans="1:18" ht="24.95" customHeight="1">
      <c r="A435" s="8" t="s">
        <v>640</v>
      </c>
      <c r="B435" s="8" t="s">
        <v>665</v>
      </c>
      <c r="C435" s="122" t="s">
        <v>641</v>
      </c>
      <c r="D435" s="122" t="s">
        <v>609</v>
      </c>
      <c r="E435" s="133" t="s">
        <v>250</v>
      </c>
      <c r="F435" s="134" t="str">
        <f t="shared" si="38"/>
        <v>DE MEMORIA</v>
      </c>
      <c r="G435" s="134">
        <v>1</v>
      </c>
      <c r="H435" s="134"/>
      <c r="I435" s="147">
        <f t="shared" si="40"/>
        <v>1</v>
      </c>
      <c r="J435" s="122" t="s">
        <v>538</v>
      </c>
      <c r="K435" s="125">
        <v>46757</v>
      </c>
      <c r="L435" s="123">
        <f t="shared" ca="1" si="41"/>
        <v>46106</v>
      </c>
      <c r="M435" s="135">
        <v>36</v>
      </c>
      <c r="N435" s="150">
        <f t="shared" ca="1" si="44"/>
        <v>21.7</v>
      </c>
      <c r="O435" s="151">
        <f t="shared" ca="1" si="43"/>
        <v>0.60277777777777775</v>
      </c>
      <c r="P435" s="8"/>
      <c r="Q435" s="129"/>
      <c r="R435" s="144" t="s">
        <v>670</v>
      </c>
    </row>
    <row r="436" spans="1:18" ht="24.95" customHeight="1">
      <c r="A436" s="8" t="s">
        <v>640</v>
      </c>
      <c r="B436" s="8" t="s">
        <v>665</v>
      </c>
      <c r="C436" s="122" t="s">
        <v>641</v>
      </c>
      <c r="D436" s="122" t="s">
        <v>609</v>
      </c>
      <c r="E436" s="133" t="s">
        <v>250</v>
      </c>
      <c r="F436" s="134" t="str">
        <f t="shared" si="38"/>
        <v>DE MEMORIA</v>
      </c>
      <c r="G436" s="134">
        <v>6</v>
      </c>
      <c r="H436" s="134"/>
      <c r="I436" s="147">
        <f t="shared" si="40"/>
        <v>6</v>
      </c>
      <c r="J436" s="122" t="s">
        <v>539</v>
      </c>
      <c r="K436" s="125">
        <v>47023</v>
      </c>
      <c r="L436" s="123">
        <f t="shared" ca="1" si="41"/>
        <v>46106</v>
      </c>
      <c r="M436" s="135">
        <v>36</v>
      </c>
      <c r="N436" s="150">
        <f t="shared" ca="1" si="44"/>
        <v>30.566666666666666</v>
      </c>
      <c r="O436" s="151">
        <f t="shared" ca="1" si="43"/>
        <v>0.84907407407407409</v>
      </c>
      <c r="P436" s="8"/>
      <c r="Q436" s="129"/>
      <c r="R436" s="144" t="s">
        <v>670</v>
      </c>
    </row>
    <row r="437" spans="1:18" ht="24.95" customHeight="1">
      <c r="A437" s="8" t="s">
        <v>640</v>
      </c>
      <c r="B437" s="8" t="s">
        <v>665</v>
      </c>
      <c r="C437" s="122" t="s">
        <v>641</v>
      </c>
      <c r="D437" s="122" t="s">
        <v>610</v>
      </c>
      <c r="E437" s="133" t="s">
        <v>611</v>
      </c>
      <c r="F437" s="134" t="str">
        <f t="shared" si="38"/>
        <v>DAOIDA</v>
      </c>
      <c r="G437" s="134">
        <v>1</v>
      </c>
      <c r="H437" s="134"/>
      <c r="I437" s="147">
        <f t="shared" si="40"/>
        <v>1</v>
      </c>
      <c r="J437" s="122" t="s">
        <v>539</v>
      </c>
      <c r="K437" s="125">
        <v>46892</v>
      </c>
      <c r="L437" s="123">
        <f t="shared" ca="1" si="41"/>
        <v>46106</v>
      </c>
      <c r="M437" s="135">
        <v>36</v>
      </c>
      <c r="N437" s="150">
        <f t="shared" ca="1" si="44"/>
        <v>26.2</v>
      </c>
      <c r="O437" s="151">
        <f t="shared" ca="1" si="43"/>
        <v>0.72777777777777775</v>
      </c>
      <c r="P437" s="8"/>
      <c r="Q437" s="129"/>
      <c r="R437" s="144" t="s">
        <v>670</v>
      </c>
    </row>
    <row r="438" spans="1:18" ht="24.95" customHeight="1">
      <c r="A438" s="8" t="s">
        <v>640</v>
      </c>
      <c r="B438" s="8" t="s">
        <v>665</v>
      </c>
      <c r="C438" s="122" t="s">
        <v>641</v>
      </c>
      <c r="D438" s="122" t="s">
        <v>610</v>
      </c>
      <c r="E438" s="133" t="s">
        <v>611</v>
      </c>
      <c r="F438" s="134" t="str">
        <f t="shared" si="38"/>
        <v>DAOIDA</v>
      </c>
      <c r="G438" s="134">
        <v>1</v>
      </c>
      <c r="H438" s="134"/>
      <c r="I438" s="147">
        <f t="shared" si="40"/>
        <v>1</v>
      </c>
      <c r="J438" s="122" t="s">
        <v>539</v>
      </c>
      <c r="K438" s="125">
        <v>46899</v>
      </c>
      <c r="L438" s="123">
        <f t="shared" ca="1" si="41"/>
        <v>46106</v>
      </c>
      <c r="M438" s="135">
        <v>36</v>
      </c>
      <c r="N438" s="150">
        <f t="shared" ca="1" si="44"/>
        <v>26.433333333333334</v>
      </c>
      <c r="O438" s="151">
        <f t="shared" ca="1" si="43"/>
        <v>0.73425925925925928</v>
      </c>
      <c r="P438" s="8"/>
      <c r="Q438" s="129"/>
      <c r="R438" s="144" t="s">
        <v>670</v>
      </c>
    </row>
    <row r="439" spans="1:18" ht="24.95" customHeight="1">
      <c r="A439" s="8" t="s">
        <v>640</v>
      </c>
      <c r="B439" s="8" t="s">
        <v>665</v>
      </c>
      <c r="C439" s="122" t="s">
        <v>641</v>
      </c>
      <c r="D439" s="122" t="s">
        <v>610</v>
      </c>
      <c r="E439" s="133" t="s">
        <v>611</v>
      </c>
      <c r="F439" s="134" t="str">
        <f t="shared" si="38"/>
        <v>DAOIDA</v>
      </c>
      <c r="G439" s="134">
        <v>7</v>
      </c>
      <c r="H439" s="134"/>
      <c r="I439" s="147">
        <f t="shared" si="40"/>
        <v>7</v>
      </c>
      <c r="J439" s="122" t="s">
        <v>539</v>
      </c>
      <c r="K439" s="125">
        <v>46943</v>
      </c>
      <c r="L439" s="123">
        <f t="shared" ca="1" si="41"/>
        <v>46106</v>
      </c>
      <c r="M439" s="135">
        <v>36</v>
      </c>
      <c r="N439" s="150">
        <f t="shared" ca="1" si="44"/>
        <v>27.9</v>
      </c>
      <c r="O439" s="151">
        <f t="shared" ca="1" si="43"/>
        <v>0.77499999999999991</v>
      </c>
      <c r="P439" s="8"/>
      <c r="Q439" s="129"/>
      <c r="R439" s="144" t="s">
        <v>670</v>
      </c>
    </row>
    <row r="440" spans="1:18" ht="24.95" customHeight="1">
      <c r="A440" s="8" t="s">
        <v>640</v>
      </c>
      <c r="B440" s="8" t="s">
        <v>665</v>
      </c>
      <c r="C440" s="122" t="s">
        <v>641</v>
      </c>
      <c r="D440" s="122" t="s">
        <v>610</v>
      </c>
      <c r="E440" s="133" t="s">
        <v>611</v>
      </c>
      <c r="F440" s="134" t="str">
        <f t="shared" si="38"/>
        <v>DAOIDA</v>
      </c>
      <c r="G440" s="134">
        <v>6</v>
      </c>
      <c r="H440" s="134"/>
      <c r="I440" s="147">
        <f t="shared" si="40"/>
        <v>6</v>
      </c>
      <c r="J440" s="122" t="s">
        <v>538</v>
      </c>
      <c r="K440" s="125">
        <v>46943</v>
      </c>
      <c r="L440" s="123">
        <f t="shared" ca="1" si="41"/>
        <v>46106</v>
      </c>
      <c r="M440" s="135">
        <v>36</v>
      </c>
      <c r="N440" s="150">
        <f t="shared" ca="1" si="44"/>
        <v>27.9</v>
      </c>
      <c r="O440" s="151">
        <f t="shared" ca="1" si="43"/>
        <v>0.77499999999999991</v>
      </c>
      <c r="P440" s="8"/>
      <c r="Q440" s="129"/>
      <c r="R440" s="144" t="s">
        <v>670</v>
      </c>
    </row>
    <row r="441" spans="1:18" ht="24.95" customHeight="1">
      <c r="A441" s="8" t="s">
        <v>640</v>
      </c>
      <c r="B441" s="8" t="s">
        <v>665</v>
      </c>
      <c r="C441" s="122" t="s">
        <v>641</v>
      </c>
      <c r="D441" s="122" t="s">
        <v>612</v>
      </c>
      <c r="E441" s="133" t="s">
        <v>243</v>
      </c>
      <c r="F441" s="134" t="str">
        <f t="shared" si="38"/>
        <v>DE MEMORIA</v>
      </c>
      <c r="G441" s="134">
        <v>1</v>
      </c>
      <c r="H441" s="134"/>
      <c r="I441" s="147">
        <f t="shared" si="40"/>
        <v>1</v>
      </c>
      <c r="J441" s="122" t="s">
        <v>539</v>
      </c>
      <c r="K441" s="125">
        <v>46912</v>
      </c>
      <c r="L441" s="123">
        <f t="shared" ca="1" si="41"/>
        <v>46106</v>
      </c>
      <c r="M441" s="135">
        <v>36</v>
      </c>
      <c r="N441" s="150">
        <f t="shared" ca="1" si="44"/>
        <v>26.866666666666667</v>
      </c>
      <c r="O441" s="151">
        <f t="shared" ca="1" si="43"/>
        <v>0.74629629629629635</v>
      </c>
      <c r="P441" s="8"/>
      <c r="Q441" s="129"/>
      <c r="R441" s="144" t="s">
        <v>670</v>
      </c>
    </row>
    <row r="442" spans="1:18" ht="24.95" customHeight="1">
      <c r="A442" s="8" t="s">
        <v>640</v>
      </c>
      <c r="B442" s="8" t="s">
        <v>665</v>
      </c>
      <c r="C442" s="122" t="s">
        <v>641</v>
      </c>
      <c r="D442" s="122" t="s">
        <v>612</v>
      </c>
      <c r="E442" s="133" t="s">
        <v>243</v>
      </c>
      <c r="F442" s="134" t="str">
        <f t="shared" si="38"/>
        <v>DE MEMORIA</v>
      </c>
      <c r="G442" s="134">
        <v>7</v>
      </c>
      <c r="H442" s="134"/>
      <c r="I442" s="147">
        <f t="shared" si="40"/>
        <v>7</v>
      </c>
      <c r="J442" s="122" t="s">
        <v>538</v>
      </c>
      <c r="K442" s="125">
        <v>46968</v>
      </c>
      <c r="L442" s="123">
        <f t="shared" ca="1" si="41"/>
        <v>46106</v>
      </c>
      <c r="M442" s="135">
        <v>36</v>
      </c>
      <c r="N442" s="150">
        <f t="shared" ca="1" si="44"/>
        <v>28.733333333333334</v>
      </c>
      <c r="O442" s="151">
        <f t="shared" ca="1" si="43"/>
        <v>0.79814814814814816</v>
      </c>
      <c r="P442" s="8"/>
      <c r="Q442" s="129"/>
      <c r="R442" s="144" t="s">
        <v>670</v>
      </c>
    </row>
    <row r="443" spans="1:18" ht="24.95" customHeight="1">
      <c r="A443" s="8" t="s">
        <v>640</v>
      </c>
      <c r="B443" s="8" t="s">
        <v>665</v>
      </c>
      <c r="C443" s="122" t="s">
        <v>641</v>
      </c>
      <c r="D443" s="122" t="s">
        <v>612</v>
      </c>
      <c r="E443" s="133" t="s">
        <v>243</v>
      </c>
      <c r="F443" s="134" t="str">
        <f t="shared" si="38"/>
        <v>DE MEMORIA</v>
      </c>
      <c r="G443" s="134">
        <v>3</v>
      </c>
      <c r="H443" s="134">
        <v>1</v>
      </c>
      <c r="I443" s="147">
        <f t="shared" si="40"/>
        <v>2</v>
      </c>
      <c r="J443" s="122" t="s">
        <v>539</v>
      </c>
      <c r="K443" s="125">
        <v>46968</v>
      </c>
      <c r="L443" s="123">
        <f t="shared" ca="1" si="41"/>
        <v>46106</v>
      </c>
      <c r="M443" s="135">
        <v>36</v>
      </c>
      <c r="N443" s="150">
        <f t="shared" ca="1" si="44"/>
        <v>28.733333333333334</v>
      </c>
      <c r="O443" s="151">
        <f t="shared" ca="1" si="43"/>
        <v>0.79814814814814816</v>
      </c>
      <c r="P443" s="8"/>
      <c r="Q443" s="129" t="s">
        <v>645</v>
      </c>
      <c r="R443" s="144" t="s">
        <v>670</v>
      </c>
    </row>
    <row r="444" spans="1:18" ht="24.95" customHeight="1">
      <c r="A444" s="8" t="s">
        <v>640</v>
      </c>
      <c r="B444" s="8" t="s">
        <v>665</v>
      </c>
      <c r="C444" s="122" t="s">
        <v>641</v>
      </c>
      <c r="D444" s="122" t="s">
        <v>613</v>
      </c>
      <c r="E444" s="133" t="s">
        <v>246</v>
      </c>
      <c r="F444" s="134" t="str">
        <f t="shared" si="38"/>
        <v>DE MEMORIA</v>
      </c>
      <c r="G444" s="134">
        <v>2</v>
      </c>
      <c r="H444" s="134">
        <v>1</v>
      </c>
      <c r="I444" s="147">
        <f t="shared" si="40"/>
        <v>1</v>
      </c>
      <c r="J444" s="122" t="s">
        <v>539</v>
      </c>
      <c r="K444" s="125">
        <v>46913</v>
      </c>
      <c r="L444" s="123">
        <f t="shared" ca="1" si="41"/>
        <v>46106</v>
      </c>
      <c r="M444" s="135">
        <v>36</v>
      </c>
      <c r="N444" s="150">
        <f t="shared" ca="1" si="44"/>
        <v>26.9</v>
      </c>
      <c r="O444" s="151">
        <f t="shared" ca="1" si="43"/>
        <v>0.74722222222222223</v>
      </c>
      <c r="P444" s="8"/>
      <c r="Q444" s="129" t="s">
        <v>645</v>
      </c>
      <c r="R444" s="144" t="s">
        <v>670</v>
      </c>
    </row>
    <row r="445" spans="1:18" ht="24.95" customHeight="1">
      <c r="A445" s="8" t="s">
        <v>640</v>
      </c>
      <c r="B445" s="8" t="s">
        <v>665</v>
      </c>
      <c r="C445" s="122" t="s">
        <v>641</v>
      </c>
      <c r="D445" s="122" t="s">
        <v>613</v>
      </c>
      <c r="E445" s="133" t="s">
        <v>246</v>
      </c>
      <c r="F445" s="134" t="str">
        <f t="shared" si="38"/>
        <v>DE MEMORIA</v>
      </c>
      <c r="G445" s="134">
        <v>2</v>
      </c>
      <c r="H445" s="134"/>
      <c r="I445" s="147">
        <f t="shared" si="40"/>
        <v>2</v>
      </c>
      <c r="J445" s="122" t="s">
        <v>539</v>
      </c>
      <c r="K445" s="125">
        <v>46969</v>
      </c>
      <c r="L445" s="123">
        <f t="shared" ca="1" si="41"/>
        <v>46106</v>
      </c>
      <c r="M445" s="135">
        <v>36</v>
      </c>
      <c r="N445" s="150">
        <f t="shared" ca="1" si="44"/>
        <v>28.766666666666666</v>
      </c>
      <c r="O445" s="151">
        <f t="shared" ca="1" si="43"/>
        <v>0.79907407407407405</v>
      </c>
      <c r="P445" s="8"/>
      <c r="Q445" s="129"/>
      <c r="R445" s="144" t="s">
        <v>670</v>
      </c>
    </row>
    <row r="446" spans="1:18" ht="24.95" customHeight="1">
      <c r="A446" s="8" t="s">
        <v>640</v>
      </c>
      <c r="B446" s="8" t="s">
        <v>665</v>
      </c>
      <c r="C446" s="122" t="s">
        <v>641</v>
      </c>
      <c r="D446" s="122" t="s">
        <v>613</v>
      </c>
      <c r="E446" s="133" t="s">
        <v>246</v>
      </c>
      <c r="F446" s="134" t="str">
        <f t="shared" si="38"/>
        <v>DE MEMORIA</v>
      </c>
      <c r="G446" s="134">
        <v>12</v>
      </c>
      <c r="H446" s="134"/>
      <c r="I446" s="147">
        <f t="shared" si="40"/>
        <v>12</v>
      </c>
      <c r="J446" s="122" t="s">
        <v>538</v>
      </c>
      <c r="K446" s="125">
        <v>46969</v>
      </c>
      <c r="L446" s="123">
        <f t="shared" ca="1" si="41"/>
        <v>46106</v>
      </c>
      <c r="M446" s="135">
        <v>36</v>
      </c>
      <c r="N446" s="150">
        <f t="shared" ca="1" si="44"/>
        <v>28.766666666666666</v>
      </c>
      <c r="O446" s="151">
        <f t="shared" ca="1" si="43"/>
        <v>0.79907407407407405</v>
      </c>
      <c r="P446" s="8"/>
      <c r="Q446" s="129"/>
      <c r="R446" s="144" t="s">
        <v>670</v>
      </c>
    </row>
    <row r="447" spans="1:18" ht="24.95" customHeight="1">
      <c r="A447" s="8" t="s">
        <v>640</v>
      </c>
      <c r="B447" s="8" t="s">
        <v>665</v>
      </c>
      <c r="C447" s="122" t="s">
        <v>641</v>
      </c>
      <c r="D447" s="122" t="s">
        <v>613</v>
      </c>
      <c r="E447" s="133" t="s">
        <v>246</v>
      </c>
      <c r="F447" s="134" t="str">
        <f t="shared" si="38"/>
        <v>DE MEMORIA</v>
      </c>
      <c r="G447" s="134">
        <v>3</v>
      </c>
      <c r="H447" s="134"/>
      <c r="I447" s="147">
        <f t="shared" si="40"/>
        <v>3</v>
      </c>
      <c r="J447" s="122" t="s">
        <v>538</v>
      </c>
      <c r="K447" s="125">
        <v>46913</v>
      </c>
      <c r="L447" s="123">
        <f t="shared" ca="1" si="41"/>
        <v>46106</v>
      </c>
      <c r="M447" s="135">
        <v>36</v>
      </c>
      <c r="N447" s="150">
        <f t="shared" ca="1" si="44"/>
        <v>26.9</v>
      </c>
      <c r="O447" s="151">
        <f t="shared" ca="1" si="43"/>
        <v>0.74722222222222223</v>
      </c>
      <c r="P447" s="8"/>
      <c r="Q447" s="129"/>
      <c r="R447" s="144" t="s">
        <v>670</v>
      </c>
    </row>
    <row r="448" spans="1:18" ht="24.95" customHeight="1">
      <c r="A448" s="8" t="s">
        <v>640</v>
      </c>
      <c r="B448" s="8" t="s">
        <v>665</v>
      </c>
      <c r="C448" s="122" t="s">
        <v>641</v>
      </c>
      <c r="D448" s="122" t="s">
        <v>614</v>
      </c>
      <c r="E448" s="133" t="s">
        <v>427</v>
      </c>
      <c r="F448" s="134" t="str">
        <f t="shared" si="38"/>
        <v>DE MEMORIA</v>
      </c>
      <c r="G448" s="134">
        <v>17</v>
      </c>
      <c r="H448" s="134"/>
      <c r="I448" s="147">
        <f t="shared" si="40"/>
        <v>17</v>
      </c>
      <c r="J448" s="122" t="s">
        <v>615</v>
      </c>
      <c r="K448" s="5" t="s">
        <v>27</v>
      </c>
      <c r="L448" s="123" t="s">
        <v>27</v>
      </c>
      <c r="M448" s="123" t="s">
        <v>27</v>
      </c>
      <c r="N448" s="123" t="s">
        <v>27</v>
      </c>
      <c r="O448" s="123" t="s">
        <v>27</v>
      </c>
      <c r="P448" s="8"/>
      <c r="Q448" s="129"/>
      <c r="R448" s="144" t="s">
        <v>670</v>
      </c>
    </row>
    <row r="449" spans="1:18" ht="24.95" customHeight="1">
      <c r="A449" s="8" t="s">
        <v>640</v>
      </c>
      <c r="B449" s="8" t="s">
        <v>665</v>
      </c>
      <c r="C449" s="122" t="s">
        <v>641</v>
      </c>
      <c r="D449" s="122" t="s">
        <v>616</v>
      </c>
      <c r="E449" s="133" t="s">
        <v>430</v>
      </c>
      <c r="F449" s="134" t="str">
        <f t="shared" ref="F449:F512" si="45">IF(ISNUMBER(SEARCH("gilaa",E449)),"GILAA",
IF(ISNUMBER(SEARCH("GLAMRR Q",E449)),"GLAMRR Q",
IF(ISNUMBER(SEARCH("BAD PEACH",E449)),"BAD PEACH",
IF(ISNUMBER(SEARCH("VEGICK",E449)),"VEGICK",
IF(ISNUMBER(SEARCH("DE MEMORIA",E449)),"DE MEMORIA",
IF(ISNUMBER(SEARCH("MUDE",E449)),"MUDE",
IF(ISNUMBER(SEARCH("daoida",E449)),"DAOIDA",IF(ISNUMBER(SEARCH("MEDIFORCELL",E449)),"MEDIFORCELL",IF(ISNUMBER(SEARCH("PLU",E449)),"PLU","")))))))))</f>
        <v>GILAA</v>
      </c>
      <c r="G449" s="134">
        <v>10</v>
      </c>
      <c r="H449" s="134"/>
      <c r="I449" s="147">
        <f t="shared" si="40"/>
        <v>10</v>
      </c>
      <c r="J449" s="122" t="s">
        <v>615</v>
      </c>
      <c r="K449" s="5" t="s">
        <v>27</v>
      </c>
      <c r="L449" s="123" t="s">
        <v>27</v>
      </c>
      <c r="M449" s="123" t="s">
        <v>27</v>
      </c>
      <c r="N449" s="123" t="s">
        <v>27</v>
      </c>
      <c r="O449" s="123" t="s">
        <v>27</v>
      </c>
      <c r="P449" s="8"/>
      <c r="Q449" s="129"/>
      <c r="R449" s="144" t="s">
        <v>670</v>
      </c>
    </row>
    <row r="450" spans="1:18" ht="24.95" customHeight="1">
      <c r="A450" s="8" t="s">
        <v>640</v>
      </c>
      <c r="B450" s="8" t="s">
        <v>665</v>
      </c>
      <c r="C450" s="122" t="s">
        <v>641</v>
      </c>
      <c r="D450" s="122" t="s">
        <v>617</v>
      </c>
      <c r="E450" s="133" t="s">
        <v>428</v>
      </c>
      <c r="F450" s="134" t="str">
        <f t="shared" si="45"/>
        <v>GLAMRR Q</v>
      </c>
      <c r="G450" s="134">
        <v>28</v>
      </c>
      <c r="H450" s="134"/>
      <c r="I450" s="147">
        <f t="shared" si="40"/>
        <v>28</v>
      </c>
      <c r="J450" s="122" t="s">
        <v>615</v>
      </c>
      <c r="K450" s="5" t="s">
        <v>27</v>
      </c>
      <c r="L450" s="123" t="s">
        <v>27</v>
      </c>
      <c r="M450" s="123" t="s">
        <v>27</v>
      </c>
      <c r="N450" s="123" t="s">
        <v>27</v>
      </c>
      <c r="O450" s="123" t="s">
        <v>27</v>
      </c>
      <c r="P450" s="8"/>
      <c r="Q450" s="129"/>
      <c r="R450" s="144" t="s">
        <v>670</v>
      </c>
    </row>
    <row r="451" spans="1:18" ht="24.95" customHeight="1">
      <c r="A451" s="8" t="s">
        <v>640</v>
      </c>
      <c r="B451" s="8" t="s">
        <v>665</v>
      </c>
      <c r="C451" s="122" t="s">
        <v>641</v>
      </c>
      <c r="D451" s="122" t="s">
        <v>36</v>
      </c>
      <c r="E451" s="133" t="s">
        <v>37</v>
      </c>
      <c r="F451" s="134" t="str">
        <f t="shared" si="45"/>
        <v>GILAA</v>
      </c>
      <c r="G451" s="134">
        <v>2</v>
      </c>
      <c r="H451" s="134"/>
      <c r="I451" s="147">
        <f t="shared" ref="I451:I514" si="46">G451-H451</f>
        <v>2</v>
      </c>
      <c r="J451" s="122" t="s">
        <v>562</v>
      </c>
      <c r="K451" s="125">
        <v>46344</v>
      </c>
      <c r="L451" s="123">
        <f t="shared" ref="L451:L465" ca="1" si="47">TODAY()</f>
        <v>46106</v>
      </c>
      <c r="M451" s="135">
        <v>24</v>
      </c>
      <c r="N451" s="150">
        <f t="shared" ref="N451:N465" ca="1" si="48">(K451-L451)/30</f>
        <v>7.9333333333333336</v>
      </c>
      <c r="O451" s="151">
        <f t="shared" ca="1" si="43"/>
        <v>0.33055555555555555</v>
      </c>
      <c r="P451" s="8"/>
      <c r="Q451" s="129"/>
      <c r="R451" s="144" t="s">
        <v>670</v>
      </c>
    </row>
    <row r="452" spans="1:18" ht="24.95" customHeight="1">
      <c r="A452" s="8" t="s">
        <v>640</v>
      </c>
      <c r="B452" s="8" t="s">
        <v>665</v>
      </c>
      <c r="C452" s="122" t="s">
        <v>641</v>
      </c>
      <c r="D452" s="122" t="s">
        <v>36</v>
      </c>
      <c r="E452" s="133" t="s">
        <v>37</v>
      </c>
      <c r="F452" s="134" t="str">
        <f t="shared" si="45"/>
        <v>GILAA</v>
      </c>
      <c r="G452" s="134">
        <v>2</v>
      </c>
      <c r="H452" s="134"/>
      <c r="I452" s="147">
        <f t="shared" si="46"/>
        <v>2</v>
      </c>
      <c r="J452" s="122" t="s">
        <v>583</v>
      </c>
      <c r="K452" s="125">
        <v>46344</v>
      </c>
      <c r="L452" s="123">
        <f t="shared" ca="1" si="47"/>
        <v>46106</v>
      </c>
      <c r="M452" s="135">
        <v>24</v>
      </c>
      <c r="N452" s="150">
        <f t="shared" ca="1" si="48"/>
        <v>7.9333333333333336</v>
      </c>
      <c r="O452" s="151">
        <f t="shared" ca="1" si="43"/>
        <v>0.33055555555555555</v>
      </c>
      <c r="P452" s="8"/>
      <c r="Q452" s="129"/>
      <c r="R452" s="144" t="s">
        <v>670</v>
      </c>
    </row>
    <row r="453" spans="1:18" ht="24.95" customHeight="1">
      <c r="A453" s="8" t="s">
        <v>640</v>
      </c>
      <c r="B453" s="8" t="s">
        <v>665</v>
      </c>
      <c r="C453" s="122" t="s">
        <v>641</v>
      </c>
      <c r="D453" s="122" t="s">
        <v>618</v>
      </c>
      <c r="E453" s="133" t="s">
        <v>5</v>
      </c>
      <c r="F453" s="134" t="str">
        <f t="shared" si="45"/>
        <v>GILAA</v>
      </c>
      <c r="G453" s="134">
        <v>8</v>
      </c>
      <c r="H453" s="134"/>
      <c r="I453" s="147">
        <f t="shared" si="46"/>
        <v>8</v>
      </c>
      <c r="J453" s="122" t="s">
        <v>562</v>
      </c>
      <c r="K453" s="125">
        <v>46480</v>
      </c>
      <c r="L453" s="123">
        <f t="shared" ca="1" si="47"/>
        <v>46106</v>
      </c>
      <c r="M453" s="135">
        <v>24</v>
      </c>
      <c r="N453" s="150">
        <f t="shared" ca="1" si="48"/>
        <v>12.466666666666667</v>
      </c>
      <c r="O453" s="151">
        <f t="shared" ca="1" si="43"/>
        <v>0.51944444444444449</v>
      </c>
      <c r="P453" s="8"/>
      <c r="Q453" s="129"/>
      <c r="R453" s="144" t="s">
        <v>670</v>
      </c>
    </row>
    <row r="454" spans="1:18" ht="24.95" customHeight="1">
      <c r="A454" s="8" t="s">
        <v>640</v>
      </c>
      <c r="B454" s="8" t="s">
        <v>665</v>
      </c>
      <c r="C454" s="122" t="s">
        <v>641</v>
      </c>
      <c r="D454" s="122" t="s">
        <v>618</v>
      </c>
      <c r="E454" s="133" t="s">
        <v>5</v>
      </c>
      <c r="F454" s="134" t="str">
        <f t="shared" si="45"/>
        <v>GILAA</v>
      </c>
      <c r="G454" s="134">
        <v>1</v>
      </c>
      <c r="H454" s="134"/>
      <c r="I454" s="147">
        <f t="shared" si="46"/>
        <v>1</v>
      </c>
      <c r="J454" s="122" t="s">
        <v>538</v>
      </c>
      <c r="K454" s="125">
        <v>46480</v>
      </c>
      <c r="L454" s="123">
        <f t="shared" ca="1" si="47"/>
        <v>46106</v>
      </c>
      <c r="M454" s="135">
        <v>24</v>
      </c>
      <c r="N454" s="150">
        <f t="shared" ca="1" si="48"/>
        <v>12.466666666666667</v>
      </c>
      <c r="O454" s="151">
        <f t="shared" ca="1" si="43"/>
        <v>0.51944444444444449</v>
      </c>
      <c r="P454" s="8"/>
      <c r="Q454" s="129"/>
      <c r="R454" s="144" t="s">
        <v>670</v>
      </c>
    </row>
    <row r="455" spans="1:18" ht="24.95" customHeight="1">
      <c r="A455" s="8" t="s">
        <v>640</v>
      </c>
      <c r="B455" s="8" t="s">
        <v>665</v>
      </c>
      <c r="C455" s="122" t="s">
        <v>641</v>
      </c>
      <c r="D455" s="122" t="s">
        <v>618</v>
      </c>
      <c r="E455" s="133" t="s">
        <v>5</v>
      </c>
      <c r="F455" s="134" t="str">
        <f t="shared" si="45"/>
        <v>GILAA</v>
      </c>
      <c r="G455" s="134">
        <v>2</v>
      </c>
      <c r="H455" s="134"/>
      <c r="I455" s="147">
        <f t="shared" si="46"/>
        <v>2</v>
      </c>
      <c r="J455" s="122" t="s">
        <v>562</v>
      </c>
      <c r="K455" s="125">
        <v>46686</v>
      </c>
      <c r="L455" s="123">
        <f t="shared" ca="1" si="47"/>
        <v>46106</v>
      </c>
      <c r="M455" s="135">
        <v>24</v>
      </c>
      <c r="N455" s="150">
        <f t="shared" ca="1" si="48"/>
        <v>19.333333333333332</v>
      </c>
      <c r="O455" s="151">
        <f t="shared" ca="1" si="43"/>
        <v>0.80555555555555547</v>
      </c>
      <c r="P455" s="8"/>
      <c r="Q455" s="129"/>
      <c r="R455" s="144" t="s">
        <v>670</v>
      </c>
    </row>
    <row r="456" spans="1:18" ht="24.95" customHeight="1">
      <c r="A456" s="8" t="s">
        <v>640</v>
      </c>
      <c r="B456" s="8" t="s">
        <v>665</v>
      </c>
      <c r="C456" s="122" t="s">
        <v>641</v>
      </c>
      <c r="D456" s="122" t="s">
        <v>619</v>
      </c>
      <c r="E456" s="133" t="s">
        <v>398</v>
      </c>
      <c r="F456" s="134" t="str">
        <f t="shared" si="45"/>
        <v>GILAA</v>
      </c>
      <c r="G456" s="134">
        <v>15</v>
      </c>
      <c r="H456" s="134"/>
      <c r="I456" s="147">
        <f t="shared" si="46"/>
        <v>15</v>
      </c>
      <c r="J456" s="122" t="s">
        <v>562</v>
      </c>
      <c r="K456" s="125">
        <v>46392</v>
      </c>
      <c r="L456" s="123">
        <f t="shared" ca="1" si="47"/>
        <v>46106</v>
      </c>
      <c r="M456" s="135">
        <v>24</v>
      </c>
      <c r="N456" s="150">
        <f t="shared" ca="1" si="48"/>
        <v>9.5333333333333332</v>
      </c>
      <c r="O456" s="151">
        <f t="shared" ca="1" si="43"/>
        <v>0.3972222222222222</v>
      </c>
      <c r="P456" s="8"/>
      <c r="Q456" s="129"/>
      <c r="R456" s="144" t="s">
        <v>670</v>
      </c>
    </row>
    <row r="457" spans="1:18" ht="24.95" customHeight="1">
      <c r="A457" s="8" t="s">
        <v>640</v>
      </c>
      <c r="B457" s="8" t="s">
        <v>665</v>
      </c>
      <c r="C457" s="122" t="s">
        <v>641</v>
      </c>
      <c r="D457" s="122" t="s">
        <v>619</v>
      </c>
      <c r="E457" s="133" t="s">
        <v>398</v>
      </c>
      <c r="F457" s="134" t="str">
        <f t="shared" si="45"/>
        <v>GILAA</v>
      </c>
      <c r="G457" s="134">
        <v>45</v>
      </c>
      <c r="H457" s="134"/>
      <c r="I457" s="147">
        <f t="shared" si="46"/>
        <v>45</v>
      </c>
      <c r="J457" s="122" t="s">
        <v>562</v>
      </c>
      <c r="K457" s="125">
        <v>46582</v>
      </c>
      <c r="L457" s="123">
        <f t="shared" ca="1" si="47"/>
        <v>46106</v>
      </c>
      <c r="M457" s="135">
        <v>24</v>
      </c>
      <c r="N457" s="150">
        <f t="shared" ca="1" si="48"/>
        <v>15.866666666666667</v>
      </c>
      <c r="O457" s="151">
        <f t="shared" ca="1" si="43"/>
        <v>0.66111111111111109</v>
      </c>
      <c r="P457" s="8"/>
      <c r="Q457" s="129"/>
      <c r="R457" s="144" t="s">
        <v>670</v>
      </c>
    </row>
    <row r="458" spans="1:18" ht="24.95" customHeight="1">
      <c r="A458" s="8" t="s">
        <v>640</v>
      </c>
      <c r="B458" s="8" t="s">
        <v>665</v>
      </c>
      <c r="C458" s="122" t="s">
        <v>641</v>
      </c>
      <c r="D458" s="122" t="s">
        <v>619</v>
      </c>
      <c r="E458" s="133" t="s">
        <v>398</v>
      </c>
      <c r="F458" s="134" t="str">
        <f t="shared" si="45"/>
        <v>GILAA</v>
      </c>
      <c r="G458" s="134">
        <v>12</v>
      </c>
      <c r="H458" s="134"/>
      <c r="I458" s="147">
        <f t="shared" si="46"/>
        <v>12</v>
      </c>
      <c r="J458" s="122" t="s">
        <v>538</v>
      </c>
      <c r="K458" s="125">
        <v>46351</v>
      </c>
      <c r="L458" s="123">
        <f t="shared" ca="1" si="47"/>
        <v>46106</v>
      </c>
      <c r="M458" s="135">
        <v>24</v>
      </c>
      <c r="N458" s="150">
        <f t="shared" ca="1" si="48"/>
        <v>8.1666666666666661</v>
      </c>
      <c r="O458" s="151">
        <f t="shared" ca="1" si="43"/>
        <v>0.34027777777777773</v>
      </c>
      <c r="P458" s="8"/>
      <c r="Q458" s="129"/>
      <c r="R458" s="144" t="s">
        <v>670</v>
      </c>
    </row>
    <row r="459" spans="1:18" ht="24.95" customHeight="1">
      <c r="A459" s="8" t="s">
        <v>640</v>
      </c>
      <c r="B459" s="8" t="s">
        <v>665</v>
      </c>
      <c r="C459" s="122" t="s">
        <v>641</v>
      </c>
      <c r="D459" s="122" t="s">
        <v>620</v>
      </c>
      <c r="E459" s="133" t="s">
        <v>159</v>
      </c>
      <c r="F459" s="134" t="str">
        <f t="shared" si="45"/>
        <v>GILAA</v>
      </c>
      <c r="G459" s="134">
        <v>1</v>
      </c>
      <c r="H459" s="134"/>
      <c r="I459" s="147">
        <f t="shared" si="46"/>
        <v>1</v>
      </c>
      <c r="J459" s="122" t="s">
        <v>538</v>
      </c>
      <c r="K459" s="125">
        <v>46473</v>
      </c>
      <c r="L459" s="123">
        <f t="shared" ca="1" si="47"/>
        <v>46106</v>
      </c>
      <c r="M459" s="135">
        <v>24</v>
      </c>
      <c r="N459" s="150">
        <f t="shared" ca="1" si="48"/>
        <v>12.233333333333333</v>
      </c>
      <c r="O459" s="151">
        <f t="shared" ca="1" si="43"/>
        <v>0.50972222222222219</v>
      </c>
      <c r="P459" s="8"/>
      <c r="Q459" s="129"/>
      <c r="R459" s="144" t="s">
        <v>670</v>
      </c>
    </row>
    <row r="460" spans="1:18" ht="24.95" customHeight="1">
      <c r="A460" s="8" t="s">
        <v>640</v>
      </c>
      <c r="B460" s="8" t="s">
        <v>665</v>
      </c>
      <c r="C460" s="122" t="s">
        <v>641</v>
      </c>
      <c r="D460" s="122" t="s">
        <v>621</v>
      </c>
      <c r="E460" s="133" t="s">
        <v>163</v>
      </c>
      <c r="F460" s="134" t="str">
        <f t="shared" si="45"/>
        <v>GILAA</v>
      </c>
      <c r="G460" s="134">
        <v>3</v>
      </c>
      <c r="H460" s="134"/>
      <c r="I460" s="147">
        <f t="shared" si="46"/>
        <v>3</v>
      </c>
      <c r="J460" s="122" t="s">
        <v>562</v>
      </c>
      <c r="K460" s="125">
        <v>46473</v>
      </c>
      <c r="L460" s="123">
        <f t="shared" ca="1" si="47"/>
        <v>46106</v>
      </c>
      <c r="M460" s="135">
        <v>24</v>
      </c>
      <c r="N460" s="150">
        <f t="shared" ca="1" si="48"/>
        <v>12.233333333333333</v>
      </c>
      <c r="O460" s="151">
        <f t="shared" ca="1" si="43"/>
        <v>0.50972222222222219</v>
      </c>
      <c r="P460" s="8"/>
      <c r="Q460" s="129"/>
      <c r="R460" s="144" t="s">
        <v>670</v>
      </c>
    </row>
    <row r="461" spans="1:18" ht="24.95" customHeight="1">
      <c r="A461" s="8" t="s">
        <v>640</v>
      </c>
      <c r="B461" s="8" t="s">
        <v>665</v>
      </c>
      <c r="C461" s="122" t="s">
        <v>641</v>
      </c>
      <c r="D461" s="122" t="s">
        <v>621</v>
      </c>
      <c r="E461" s="133" t="s">
        <v>163</v>
      </c>
      <c r="F461" s="134" t="str">
        <f t="shared" si="45"/>
        <v>GILAA</v>
      </c>
      <c r="G461" s="134">
        <v>2</v>
      </c>
      <c r="H461" s="134"/>
      <c r="I461" s="147">
        <f t="shared" si="46"/>
        <v>2</v>
      </c>
      <c r="J461" s="122" t="s">
        <v>538</v>
      </c>
      <c r="K461" s="125">
        <v>46473</v>
      </c>
      <c r="L461" s="123">
        <f t="shared" ca="1" si="47"/>
        <v>46106</v>
      </c>
      <c r="M461" s="135">
        <v>24</v>
      </c>
      <c r="N461" s="150">
        <f t="shared" ca="1" si="48"/>
        <v>12.233333333333333</v>
      </c>
      <c r="O461" s="151">
        <f t="shared" ca="1" si="43"/>
        <v>0.50972222222222219</v>
      </c>
      <c r="P461" s="8"/>
      <c r="Q461" s="129"/>
      <c r="R461" s="144" t="s">
        <v>670</v>
      </c>
    </row>
    <row r="462" spans="1:18" ht="24.95" customHeight="1">
      <c r="A462" s="8" t="s">
        <v>640</v>
      </c>
      <c r="B462" s="8" t="s">
        <v>665</v>
      </c>
      <c r="C462" s="122" t="s">
        <v>641</v>
      </c>
      <c r="D462" s="122" t="s">
        <v>622</v>
      </c>
      <c r="E462" s="133" t="s">
        <v>623</v>
      </c>
      <c r="F462" s="134" t="str">
        <f t="shared" si="45"/>
        <v>MEDIFORCELL</v>
      </c>
      <c r="G462" s="134">
        <v>19</v>
      </c>
      <c r="H462" s="134"/>
      <c r="I462" s="147">
        <f t="shared" si="46"/>
        <v>19</v>
      </c>
      <c r="J462" s="122" t="s">
        <v>539</v>
      </c>
      <c r="K462" s="125">
        <v>46802</v>
      </c>
      <c r="L462" s="123">
        <f t="shared" ca="1" si="47"/>
        <v>46106</v>
      </c>
      <c r="M462" s="135">
        <v>36</v>
      </c>
      <c r="N462" s="150">
        <f t="shared" ca="1" si="48"/>
        <v>23.2</v>
      </c>
      <c r="O462" s="151">
        <f t="shared" ref="O462:O508" ca="1" si="49">N462/M462</f>
        <v>0.64444444444444438</v>
      </c>
      <c r="P462" s="8"/>
      <c r="Q462" s="129"/>
      <c r="R462" s="144" t="s">
        <v>670</v>
      </c>
    </row>
    <row r="463" spans="1:18" ht="24.95" customHeight="1">
      <c r="A463" s="8" t="s">
        <v>640</v>
      </c>
      <c r="B463" s="8" t="s">
        <v>665</v>
      </c>
      <c r="C463" s="122" t="s">
        <v>641</v>
      </c>
      <c r="D463" s="122" t="s">
        <v>622</v>
      </c>
      <c r="E463" s="133" t="s">
        <v>623</v>
      </c>
      <c r="F463" s="134" t="str">
        <f t="shared" si="45"/>
        <v>MEDIFORCELL</v>
      </c>
      <c r="G463" s="134">
        <v>5</v>
      </c>
      <c r="H463" s="134"/>
      <c r="I463" s="147">
        <f t="shared" si="46"/>
        <v>5</v>
      </c>
      <c r="J463" s="122" t="s">
        <v>538</v>
      </c>
      <c r="K463" s="125">
        <v>47026</v>
      </c>
      <c r="L463" s="123">
        <f t="shared" ca="1" si="47"/>
        <v>46106</v>
      </c>
      <c r="M463" s="135">
        <v>36</v>
      </c>
      <c r="N463" s="150">
        <f t="shared" ca="1" si="48"/>
        <v>30.666666666666668</v>
      </c>
      <c r="O463" s="151">
        <f t="shared" ca="1" si="49"/>
        <v>0.85185185185185186</v>
      </c>
      <c r="P463" s="8"/>
      <c r="Q463" s="129"/>
      <c r="R463" s="144" t="s">
        <v>670</v>
      </c>
    </row>
    <row r="464" spans="1:18" ht="24.95" customHeight="1">
      <c r="A464" s="8" t="s">
        <v>640</v>
      </c>
      <c r="B464" s="8" t="s">
        <v>665</v>
      </c>
      <c r="C464" s="122" t="s">
        <v>641</v>
      </c>
      <c r="D464" s="122" t="s">
        <v>622</v>
      </c>
      <c r="E464" s="133" t="s">
        <v>623</v>
      </c>
      <c r="F464" s="134" t="str">
        <f t="shared" si="45"/>
        <v>MEDIFORCELL</v>
      </c>
      <c r="G464" s="134">
        <v>2</v>
      </c>
      <c r="H464" s="134"/>
      <c r="I464" s="147">
        <f t="shared" si="46"/>
        <v>2</v>
      </c>
      <c r="J464" s="122" t="s">
        <v>539</v>
      </c>
      <c r="K464" s="125">
        <v>47026</v>
      </c>
      <c r="L464" s="123">
        <f t="shared" ca="1" si="47"/>
        <v>46106</v>
      </c>
      <c r="M464" s="135">
        <v>36</v>
      </c>
      <c r="N464" s="150">
        <f t="shared" ca="1" si="48"/>
        <v>30.666666666666668</v>
      </c>
      <c r="O464" s="151">
        <f t="shared" ca="1" si="49"/>
        <v>0.85185185185185186</v>
      </c>
      <c r="P464" s="8"/>
      <c r="Q464" s="129"/>
      <c r="R464" s="144" t="s">
        <v>670</v>
      </c>
    </row>
    <row r="465" spans="1:18" ht="24.95" customHeight="1">
      <c r="A465" s="8" t="s">
        <v>640</v>
      </c>
      <c r="B465" s="8" t="s">
        <v>665</v>
      </c>
      <c r="C465" s="122" t="s">
        <v>641</v>
      </c>
      <c r="D465" s="122" t="s">
        <v>622</v>
      </c>
      <c r="E465" s="133" t="s">
        <v>623</v>
      </c>
      <c r="F465" s="134" t="str">
        <f t="shared" si="45"/>
        <v>MEDIFORCELL</v>
      </c>
      <c r="G465" s="134">
        <v>4</v>
      </c>
      <c r="H465" s="134"/>
      <c r="I465" s="147">
        <f t="shared" si="46"/>
        <v>4</v>
      </c>
      <c r="J465" s="122" t="s">
        <v>539</v>
      </c>
      <c r="K465" s="126">
        <v>47098</v>
      </c>
      <c r="L465" s="123">
        <f t="shared" ca="1" si="47"/>
        <v>46106</v>
      </c>
      <c r="M465" s="135">
        <v>36</v>
      </c>
      <c r="N465" s="150">
        <f t="shared" ca="1" si="48"/>
        <v>33.06666666666667</v>
      </c>
      <c r="O465" s="151">
        <f t="shared" ca="1" si="49"/>
        <v>0.91851851851851862</v>
      </c>
      <c r="P465" s="8"/>
      <c r="Q465" s="129"/>
      <c r="R465" s="144" t="s">
        <v>670</v>
      </c>
    </row>
    <row r="466" spans="1:18" ht="24.95" customHeight="1">
      <c r="A466" s="8" t="s">
        <v>640</v>
      </c>
      <c r="B466" s="8" t="s">
        <v>665</v>
      </c>
      <c r="C466" s="122" t="s">
        <v>641</v>
      </c>
      <c r="D466" s="122" t="s">
        <v>624</v>
      </c>
      <c r="E466" s="133" t="s">
        <v>483</v>
      </c>
      <c r="F466" s="134" t="str">
        <f t="shared" si="45"/>
        <v>GILAA</v>
      </c>
      <c r="G466" s="134">
        <v>1</v>
      </c>
      <c r="H466" s="134">
        <v>1</v>
      </c>
      <c r="I466" s="147">
        <f t="shared" si="46"/>
        <v>0</v>
      </c>
      <c r="J466" s="122" t="s">
        <v>539</v>
      </c>
      <c r="K466" s="5" t="s">
        <v>27</v>
      </c>
      <c r="L466" s="123" t="s">
        <v>27</v>
      </c>
      <c r="M466" s="123" t="s">
        <v>27</v>
      </c>
      <c r="N466" s="123" t="s">
        <v>27</v>
      </c>
      <c r="O466" s="123" t="s">
        <v>27</v>
      </c>
      <c r="P466" s="8"/>
      <c r="Q466" s="129" t="s">
        <v>645</v>
      </c>
      <c r="R466" s="144" t="s">
        <v>670</v>
      </c>
    </row>
    <row r="467" spans="1:18" ht="24.95" customHeight="1">
      <c r="A467" s="8" t="s">
        <v>640</v>
      </c>
      <c r="B467" s="8" t="s">
        <v>665</v>
      </c>
      <c r="C467" s="122" t="s">
        <v>641</v>
      </c>
      <c r="D467" s="122" t="s">
        <v>625</v>
      </c>
      <c r="E467" s="133" t="s">
        <v>471</v>
      </c>
      <c r="F467" s="134" t="str">
        <f t="shared" si="45"/>
        <v>GLAMRR Q</v>
      </c>
      <c r="G467" s="134">
        <v>5</v>
      </c>
      <c r="H467" s="134">
        <v>3</v>
      </c>
      <c r="I467" s="147">
        <f t="shared" si="46"/>
        <v>2</v>
      </c>
      <c r="J467" s="122" t="s">
        <v>539</v>
      </c>
      <c r="K467" s="5" t="s">
        <v>27</v>
      </c>
      <c r="L467" s="123" t="s">
        <v>27</v>
      </c>
      <c r="M467" s="123" t="s">
        <v>27</v>
      </c>
      <c r="N467" s="123" t="s">
        <v>27</v>
      </c>
      <c r="O467" s="123" t="s">
        <v>27</v>
      </c>
      <c r="P467" s="8"/>
      <c r="Q467" s="129" t="s">
        <v>645</v>
      </c>
      <c r="R467" s="144" t="s">
        <v>670</v>
      </c>
    </row>
    <row r="468" spans="1:18" ht="24.95" customHeight="1">
      <c r="A468" s="8" t="s">
        <v>640</v>
      </c>
      <c r="B468" s="8" t="s">
        <v>665</v>
      </c>
      <c r="C468" s="122" t="s">
        <v>641</v>
      </c>
      <c r="D468" s="122" t="s">
        <v>626</v>
      </c>
      <c r="E468" s="133" t="s">
        <v>421</v>
      </c>
      <c r="F468" s="134" t="str">
        <f t="shared" si="45"/>
        <v>DE MEMORIA</v>
      </c>
      <c r="G468" s="134">
        <v>2</v>
      </c>
      <c r="H468" s="134"/>
      <c r="I468" s="147">
        <f t="shared" si="46"/>
        <v>2</v>
      </c>
      <c r="J468" s="122" t="s">
        <v>539</v>
      </c>
      <c r="K468" s="5" t="s">
        <v>27</v>
      </c>
      <c r="L468" s="123" t="s">
        <v>27</v>
      </c>
      <c r="M468" s="123" t="s">
        <v>27</v>
      </c>
      <c r="N468" s="123" t="s">
        <v>27</v>
      </c>
      <c r="O468" s="123" t="s">
        <v>27</v>
      </c>
      <c r="P468" s="8"/>
      <c r="Q468" s="129"/>
      <c r="R468" s="144" t="s">
        <v>670</v>
      </c>
    </row>
    <row r="469" spans="1:18" ht="24.95" customHeight="1">
      <c r="A469" s="8" t="s">
        <v>640</v>
      </c>
      <c r="B469" s="8" t="s">
        <v>665</v>
      </c>
      <c r="C469" s="122" t="s">
        <v>641</v>
      </c>
      <c r="D469" s="122" t="s">
        <v>627</v>
      </c>
      <c r="E469" s="133" t="s">
        <v>628</v>
      </c>
      <c r="F469" s="134" t="str">
        <f t="shared" si="45"/>
        <v>GLAMRR Q</v>
      </c>
      <c r="G469" s="134">
        <v>2</v>
      </c>
      <c r="H469" s="134"/>
      <c r="I469" s="147">
        <f t="shared" si="46"/>
        <v>2</v>
      </c>
      <c r="J469" s="122" t="s">
        <v>539</v>
      </c>
      <c r="K469" s="126">
        <v>46804</v>
      </c>
      <c r="L469" s="123">
        <f t="shared" ref="L469:L508" ca="1" si="50">TODAY()</f>
        <v>46106</v>
      </c>
      <c r="M469" s="135">
        <v>30</v>
      </c>
      <c r="N469" s="150">
        <f t="shared" ref="N469:N508" ca="1" si="51">(K469-L469)/30</f>
        <v>23.266666666666666</v>
      </c>
      <c r="O469" s="151">
        <f t="shared" ca="1" si="49"/>
        <v>0.77555555555555555</v>
      </c>
      <c r="P469" s="8"/>
      <c r="Q469" s="129"/>
      <c r="R469" s="144" t="s">
        <v>670</v>
      </c>
    </row>
    <row r="470" spans="1:18" ht="24.95" customHeight="1">
      <c r="A470" s="8" t="s">
        <v>640</v>
      </c>
      <c r="B470" s="8" t="s">
        <v>665</v>
      </c>
      <c r="C470" s="122" t="s">
        <v>641</v>
      </c>
      <c r="D470" s="122" t="s">
        <v>627</v>
      </c>
      <c r="E470" s="133" t="s">
        <v>628</v>
      </c>
      <c r="F470" s="134" t="str">
        <f t="shared" si="45"/>
        <v>GLAMRR Q</v>
      </c>
      <c r="G470" s="134">
        <v>5</v>
      </c>
      <c r="H470" s="134"/>
      <c r="I470" s="147">
        <f t="shared" si="46"/>
        <v>5</v>
      </c>
      <c r="J470" s="122" t="s">
        <v>539</v>
      </c>
      <c r="K470" s="126">
        <v>46810</v>
      </c>
      <c r="L470" s="123">
        <f t="shared" ca="1" si="50"/>
        <v>46106</v>
      </c>
      <c r="M470" s="135">
        <v>30</v>
      </c>
      <c r="N470" s="150">
        <f t="shared" ca="1" si="51"/>
        <v>23.466666666666665</v>
      </c>
      <c r="O470" s="151">
        <f t="shared" ca="1" si="49"/>
        <v>0.78222222222222215</v>
      </c>
      <c r="P470" s="8"/>
      <c r="Q470" s="129"/>
      <c r="R470" s="144" t="s">
        <v>670</v>
      </c>
    </row>
    <row r="471" spans="1:18" ht="24.95" customHeight="1">
      <c r="A471" s="8" t="s">
        <v>640</v>
      </c>
      <c r="B471" s="8" t="s">
        <v>665</v>
      </c>
      <c r="C471" s="122" t="s">
        <v>641</v>
      </c>
      <c r="D471" s="122" t="s">
        <v>627</v>
      </c>
      <c r="E471" s="133" t="s">
        <v>628</v>
      </c>
      <c r="F471" s="134" t="str">
        <f t="shared" si="45"/>
        <v>GLAMRR Q</v>
      </c>
      <c r="G471" s="134">
        <v>2</v>
      </c>
      <c r="H471" s="134"/>
      <c r="I471" s="147">
        <f t="shared" si="46"/>
        <v>2</v>
      </c>
      <c r="J471" s="122" t="s">
        <v>539</v>
      </c>
      <c r="K471" s="126">
        <v>46837</v>
      </c>
      <c r="L471" s="123">
        <f t="shared" ca="1" si="50"/>
        <v>46106</v>
      </c>
      <c r="M471" s="135">
        <v>30</v>
      </c>
      <c r="N471" s="150">
        <f t="shared" ca="1" si="51"/>
        <v>24.366666666666667</v>
      </c>
      <c r="O471" s="151">
        <f t="shared" ca="1" si="49"/>
        <v>0.81222222222222229</v>
      </c>
      <c r="P471" s="8"/>
      <c r="Q471" s="129"/>
      <c r="R471" s="144" t="s">
        <v>670</v>
      </c>
    </row>
    <row r="472" spans="1:18" ht="24.95" customHeight="1">
      <c r="A472" s="8" t="s">
        <v>640</v>
      </c>
      <c r="B472" s="8" t="s">
        <v>665</v>
      </c>
      <c r="C472" s="122" t="s">
        <v>641</v>
      </c>
      <c r="D472" s="122" t="s">
        <v>627</v>
      </c>
      <c r="E472" s="133" t="s">
        <v>628</v>
      </c>
      <c r="F472" s="134" t="str">
        <f t="shared" si="45"/>
        <v>GLAMRR Q</v>
      </c>
      <c r="G472" s="134">
        <v>4</v>
      </c>
      <c r="H472" s="134"/>
      <c r="I472" s="147">
        <f t="shared" si="46"/>
        <v>4</v>
      </c>
      <c r="J472" s="122" t="s">
        <v>539</v>
      </c>
      <c r="K472" s="126">
        <v>46843</v>
      </c>
      <c r="L472" s="123">
        <f t="shared" ca="1" si="50"/>
        <v>46106</v>
      </c>
      <c r="M472" s="135">
        <v>30</v>
      </c>
      <c r="N472" s="150">
        <f t="shared" ca="1" si="51"/>
        <v>24.566666666666666</v>
      </c>
      <c r="O472" s="151">
        <f t="shared" ca="1" si="49"/>
        <v>0.81888888888888889</v>
      </c>
      <c r="P472" s="8"/>
      <c r="Q472" s="129"/>
      <c r="R472" s="144" t="s">
        <v>670</v>
      </c>
    </row>
    <row r="473" spans="1:18" ht="24.95" customHeight="1">
      <c r="A473" s="8" t="s">
        <v>640</v>
      </c>
      <c r="B473" s="8" t="s">
        <v>665</v>
      </c>
      <c r="C473" s="122" t="s">
        <v>641</v>
      </c>
      <c r="D473" s="122" t="s">
        <v>627</v>
      </c>
      <c r="E473" s="133" t="s">
        <v>628</v>
      </c>
      <c r="F473" s="134" t="str">
        <f t="shared" si="45"/>
        <v>GLAMRR Q</v>
      </c>
      <c r="G473" s="134">
        <v>4</v>
      </c>
      <c r="H473" s="134"/>
      <c r="I473" s="147">
        <f t="shared" si="46"/>
        <v>4</v>
      </c>
      <c r="J473" s="122" t="s">
        <v>538</v>
      </c>
      <c r="K473" s="126">
        <v>46810</v>
      </c>
      <c r="L473" s="123">
        <f t="shared" ca="1" si="50"/>
        <v>46106</v>
      </c>
      <c r="M473" s="135">
        <v>30</v>
      </c>
      <c r="N473" s="150">
        <f t="shared" ca="1" si="51"/>
        <v>23.466666666666665</v>
      </c>
      <c r="O473" s="151">
        <f t="shared" ca="1" si="49"/>
        <v>0.78222222222222215</v>
      </c>
      <c r="P473" s="8"/>
      <c r="Q473" s="129"/>
      <c r="R473" s="144" t="s">
        <v>670</v>
      </c>
    </row>
    <row r="474" spans="1:18" ht="24.95" customHeight="1">
      <c r="A474" s="8" t="s">
        <v>640</v>
      </c>
      <c r="B474" s="8" t="s">
        <v>665</v>
      </c>
      <c r="C474" s="122" t="s">
        <v>641</v>
      </c>
      <c r="D474" s="122" t="s">
        <v>627</v>
      </c>
      <c r="E474" s="133" t="s">
        <v>628</v>
      </c>
      <c r="F474" s="134" t="str">
        <f t="shared" si="45"/>
        <v>GLAMRR Q</v>
      </c>
      <c r="G474" s="134">
        <v>1</v>
      </c>
      <c r="H474" s="134"/>
      <c r="I474" s="147">
        <f t="shared" si="46"/>
        <v>1</v>
      </c>
      <c r="J474" s="122" t="s">
        <v>538</v>
      </c>
      <c r="K474" s="126">
        <v>46732</v>
      </c>
      <c r="L474" s="123">
        <f t="shared" ca="1" si="50"/>
        <v>46106</v>
      </c>
      <c r="M474" s="135">
        <v>30</v>
      </c>
      <c r="N474" s="150">
        <f t="shared" ca="1" si="51"/>
        <v>20.866666666666667</v>
      </c>
      <c r="O474" s="151">
        <f t="shared" ca="1" si="49"/>
        <v>0.69555555555555559</v>
      </c>
      <c r="P474" s="8"/>
      <c r="Q474" s="129"/>
      <c r="R474" s="144" t="s">
        <v>670</v>
      </c>
    </row>
    <row r="475" spans="1:18" ht="24.95" customHeight="1">
      <c r="A475" s="8" t="s">
        <v>640</v>
      </c>
      <c r="B475" s="8" t="s">
        <v>665</v>
      </c>
      <c r="C475" s="122" t="s">
        <v>641</v>
      </c>
      <c r="D475" s="122" t="s">
        <v>627</v>
      </c>
      <c r="E475" s="133" t="s">
        <v>628</v>
      </c>
      <c r="F475" s="134" t="str">
        <f t="shared" si="45"/>
        <v>GLAMRR Q</v>
      </c>
      <c r="G475" s="134">
        <v>1</v>
      </c>
      <c r="H475" s="134"/>
      <c r="I475" s="147">
        <f t="shared" si="46"/>
        <v>1</v>
      </c>
      <c r="J475" s="122" t="s">
        <v>538</v>
      </c>
      <c r="K475" s="126">
        <v>46804</v>
      </c>
      <c r="L475" s="123">
        <f t="shared" ca="1" si="50"/>
        <v>46106</v>
      </c>
      <c r="M475" s="135">
        <v>30</v>
      </c>
      <c r="N475" s="150">
        <f t="shared" ca="1" si="51"/>
        <v>23.266666666666666</v>
      </c>
      <c r="O475" s="151">
        <f t="shared" ca="1" si="49"/>
        <v>0.77555555555555555</v>
      </c>
      <c r="P475" s="8"/>
      <c r="Q475" s="129"/>
      <c r="R475" s="144" t="s">
        <v>670</v>
      </c>
    </row>
    <row r="476" spans="1:18" ht="24.95" customHeight="1">
      <c r="A476" s="8" t="s">
        <v>640</v>
      </c>
      <c r="B476" s="8" t="s">
        <v>665</v>
      </c>
      <c r="C476" s="122" t="s">
        <v>641</v>
      </c>
      <c r="D476" s="122" t="s">
        <v>629</v>
      </c>
      <c r="E476" s="133" t="s">
        <v>443</v>
      </c>
      <c r="F476" s="134" t="str">
        <f t="shared" si="45"/>
        <v>GLAMRR Q</v>
      </c>
      <c r="G476" s="134">
        <v>8</v>
      </c>
      <c r="H476" s="134"/>
      <c r="I476" s="147">
        <f t="shared" si="46"/>
        <v>8</v>
      </c>
      <c r="J476" s="122" t="s">
        <v>539</v>
      </c>
      <c r="K476" s="125">
        <v>46804</v>
      </c>
      <c r="L476" s="123">
        <f t="shared" ca="1" si="50"/>
        <v>46106</v>
      </c>
      <c r="M476" s="135">
        <v>30</v>
      </c>
      <c r="N476" s="150">
        <f t="shared" ca="1" si="51"/>
        <v>23.266666666666666</v>
      </c>
      <c r="O476" s="151">
        <f t="shared" ca="1" si="49"/>
        <v>0.77555555555555555</v>
      </c>
      <c r="P476" s="8"/>
      <c r="Q476" s="129"/>
      <c r="R476" s="144" t="s">
        <v>670</v>
      </c>
    </row>
    <row r="477" spans="1:18" ht="24.95" customHeight="1">
      <c r="A477" s="8" t="s">
        <v>640</v>
      </c>
      <c r="B477" s="8" t="s">
        <v>665</v>
      </c>
      <c r="C477" s="122" t="s">
        <v>641</v>
      </c>
      <c r="D477" s="122" t="s">
        <v>629</v>
      </c>
      <c r="E477" s="133" t="s">
        <v>443</v>
      </c>
      <c r="F477" s="134" t="str">
        <f t="shared" si="45"/>
        <v>GLAMRR Q</v>
      </c>
      <c r="G477" s="134">
        <v>7</v>
      </c>
      <c r="H477" s="134"/>
      <c r="I477" s="147">
        <f t="shared" si="46"/>
        <v>7</v>
      </c>
      <c r="J477" s="122" t="s">
        <v>539</v>
      </c>
      <c r="K477" s="125">
        <v>46810</v>
      </c>
      <c r="L477" s="123">
        <f t="shared" ca="1" si="50"/>
        <v>46106</v>
      </c>
      <c r="M477" s="135">
        <v>30</v>
      </c>
      <c r="N477" s="150">
        <f t="shared" ca="1" si="51"/>
        <v>23.466666666666665</v>
      </c>
      <c r="O477" s="151">
        <f t="shared" ca="1" si="49"/>
        <v>0.78222222222222215</v>
      </c>
      <c r="P477" s="8"/>
      <c r="Q477" s="129"/>
      <c r="R477" s="144" t="s">
        <v>670</v>
      </c>
    </row>
    <row r="478" spans="1:18" ht="24.95" customHeight="1">
      <c r="A478" s="8" t="s">
        <v>640</v>
      </c>
      <c r="B478" s="8" t="s">
        <v>665</v>
      </c>
      <c r="C478" s="122" t="s">
        <v>641</v>
      </c>
      <c r="D478" s="122" t="s">
        <v>629</v>
      </c>
      <c r="E478" s="133" t="s">
        <v>443</v>
      </c>
      <c r="F478" s="134" t="str">
        <f t="shared" si="45"/>
        <v>GLAMRR Q</v>
      </c>
      <c r="G478" s="134">
        <v>12</v>
      </c>
      <c r="H478" s="134"/>
      <c r="I478" s="147">
        <f t="shared" si="46"/>
        <v>12</v>
      </c>
      <c r="J478" s="122" t="s">
        <v>539</v>
      </c>
      <c r="K478" s="125">
        <v>46821</v>
      </c>
      <c r="L478" s="123">
        <f t="shared" ca="1" si="50"/>
        <v>46106</v>
      </c>
      <c r="M478" s="135">
        <v>30</v>
      </c>
      <c r="N478" s="150">
        <f t="shared" ca="1" si="51"/>
        <v>23.833333333333332</v>
      </c>
      <c r="O478" s="151">
        <f t="shared" ca="1" si="49"/>
        <v>0.7944444444444444</v>
      </c>
      <c r="P478" s="8"/>
      <c r="Q478" s="129"/>
      <c r="R478" s="144" t="s">
        <v>670</v>
      </c>
    </row>
    <row r="479" spans="1:18" ht="24.95" customHeight="1">
      <c r="A479" s="8" t="s">
        <v>640</v>
      </c>
      <c r="B479" s="8" t="s">
        <v>665</v>
      </c>
      <c r="C479" s="122" t="s">
        <v>641</v>
      </c>
      <c r="D479" s="122" t="s">
        <v>629</v>
      </c>
      <c r="E479" s="133" t="s">
        <v>443</v>
      </c>
      <c r="F479" s="134" t="str">
        <f t="shared" si="45"/>
        <v>GLAMRR Q</v>
      </c>
      <c r="G479" s="134">
        <v>12</v>
      </c>
      <c r="H479" s="134"/>
      <c r="I479" s="147">
        <f t="shared" si="46"/>
        <v>12</v>
      </c>
      <c r="J479" s="122" t="s">
        <v>538</v>
      </c>
      <c r="K479" s="125">
        <v>46810</v>
      </c>
      <c r="L479" s="123">
        <f t="shared" ca="1" si="50"/>
        <v>46106</v>
      </c>
      <c r="M479" s="135">
        <v>30</v>
      </c>
      <c r="N479" s="150">
        <f t="shared" ca="1" si="51"/>
        <v>23.466666666666665</v>
      </c>
      <c r="O479" s="151">
        <f t="shared" ca="1" si="49"/>
        <v>0.78222222222222215</v>
      </c>
      <c r="P479" s="8"/>
      <c r="Q479" s="129"/>
      <c r="R479" s="144" t="s">
        <v>670</v>
      </c>
    </row>
    <row r="480" spans="1:18" ht="24.95" customHeight="1">
      <c r="A480" s="8" t="s">
        <v>640</v>
      </c>
      <c r="B480" s="8" t="s">
        <v>665</v>
      </c>
      <c r="C480" s="122" t="s">
        <v>641</v>
      </c>
      <c r="D480" s="122" t="s">
        <v>629</v>
      </c>
      <c r="E480" s="133" t="s">
        <v>443</v>
      </c>
      <c r="F480" s="134" t="str">
        <f t="shared" si="45"/>
        <v>GLAMRR Q</v>
      </c>
      <c r="G480" s="134">
        <v>2</v>
      </c>
      <c r="H480" s="134"/>
      <c r="I480" s="147">
        <f t="shared" si="46"/>
        <v>2</v>
      </c>
      <c r="J480" s="122" t="s">
        <v>538</v>
      </c>
      <c r="K480" s="125">
        <v>46754</v>
      </c>
      <c r="L480" s="123">
        <f t="shared" ca="1" si="50"/>
        <v>46106</v>
      </c>
      <c r="M480" s="135">
        <v>30</v>
      </c>
      <c r="N480" s="150">
        <f t="shared" ca="1" si="51"/>
        <v>21.6</v>
      </c>
      <c r="O480" s="151">
        <f t="shared" ca="1" si="49"/>
        <v>0.72000000000000008</v>
      </c>
      <c r="P480" s="8"/>
      <c r="Q480" s="129"/>
      <c r="R480" s="144" t="s">
        <v>670</v>
      </c>
    </row>
    <row r="481" spans="1:18" ht="24.95" customHeight="1">
      <c r="A481" s="8" t="s">
        <v>640</v>
      </c>
      <c r="B481" s="8" t="s">
        <v>665</v>
      </c>
      <c r="C481" s="122" t="s">
        <v>641</v>
      </c>
      <c r="D481" s="122" t="s">
        <v>630</v>
      </c>
      <c r="E481" s="133" t="s">
        <v>631</v>
      </c>
      <c r="F481" s="134" t="str">
        <f t="shared" si="45"/>
        <v>GLAMRR Q</v>
      </c>
      <c r="G481" s="134">
        <v>1</v>
      </c>
      <c r="H481" s="134"/>
      <c r="I481" s="147">
        <f t="shared" si="46"/>
        <v>1</v>
      </c>
      <c r="J481" s="122" t="s">
        <v>539</v>
      </c>
      <c r="K481" s="125">
        <v>46755</v>
      </c>
      <c r="L481" s="123">
        <f t="shared" ca="1" si="50"/>
        <v>46106</v>
      </c>
      <c r="M481" s="135">
        <v>30</v>
      </c>
      <c r="N481" s="150">
        <f t="shared" ca="1" si="51"/>
        <v>21.633333333333333</v>
      </c>
      <c r="O481" s="151">
        <f t="shared" ca="1" si="49"/>
        <v>0.72111111111111115</v>
      </c>
      <c r="P481" s="8"/>
      <c r="Q481" s="129"/>
      <c r="R481" s="144" t="s">
        <v>670</v>
      </c>
    </row>
    <row r="482" spans="1:18" ht="24.95" customHeight="1">
      <c r="A482" s="8" t="s">
        <v>640</v>
      </c>
      <c r="B482" s="8" t="s">
        <v>665</v>
      </c>
      <c r="C482" s="122" t="s">
        <v>641</v>
      </c>
      <c r="D482" s="122" t="s">
        <v>632</v>
      </c>
      <c r="E482" s="133" t="s">
        <v>633</v>
      </c>
      <c r="F482" s="134" t="str">
        <f t="shared" si="45"/>
        <v>GLAMRR Q</v>
      </c>
      <c r="G482" s="134">
        <v>1</v>
      </c>
      <c r="H482" s="134"/>
      <c r="I482" s="147">
        <f t="shared" si="46"/>
        <v>1</v>
      </c>
      <c r="J482" s="122" t="s">
        <v>539</v>
      </c>
      <c r="K482" s="126">
        <v>46800</v>
      </c>
      <c r="L482" s="123">
        <f t="shared" ca="1" si="50"/>
        <v>46106</v>
      </c>
      <c r="M482" s="135">
        <v>30</v>
      </c>
      <c r="N482" s="150">
        <f t="shared" ca="1" si="51"/>
        <v>23.133333333333333</v>
      </c>
      <c r="O482" s="151">
        <f t="shared" ca="1" si="49"/>
        <v>0.77111111111111108</v>
      </c>
      <c r="P482" s="8"/>
      <c r="Q482" s="129"/>
      <c r="R482" s="144" t="s">
        <v>670</v>
      </c>
    </row>
    <row r="483" spans="1:18" ht="24.95" customHeight="1">
      <c r="A483" s="8" t="s">
        <v>640</v>
      </c>
      <c r="B483" s="8" t="s">
        <v>665</v>
      </c>
      <c r="C483" s="122" t="s">
        <v>641</v>
      </c>
      <c r="D483" s="122" t="s">
        <v>632</v>
      </c>
      <c r="E483" s="133" t="s">
        <v>633</v>
      </c>
      <c r="F483" s="134" t="str">
        <f t="shared" si="45"/>
        <v>GLAMRR Q</v>
      </c>
      <c r="G483" s="134">
        <v>3</v>
      </c>
      <c r="H483" s="134"/>
      <c r="I483" s="147">
        <f t="shared" si="46"/>
        <v>3</v>
      </c>
      <c r="J483" s="122" t="s">
        <v>539</v>
      </c>
      <c r="K483" s="126">
        <v>46812</v>
      </c>
      <c r="L483" s="123">
        <f t="shared" ca="1" si="50"/>
        <v>46106</v>
      </c>
      <c r="M483" s="135">
        <v>30</v>
      </c>
      <c r="N483" s="150">
        <f t="shared" ca="1" si="51"/>
        <v>23.533333333333335</v>
      </c>
      <c r="O483" s="151">
        <f t="shared" ca="1" si="49"/>
        <v>0.7844444444444445</v>
      </c>
      <c r="P483" s="8"/>
      <c r="Q483" s="129"/>
      <c r="R483" s="144" t="s">
        <v>670</v>
      </c>
    </row>
    <row r="484" spans="1:18" ht="24.95" customHeight="1">
      <c r="A484" s="8" t="s">
        <v>640</v>
      </c>
      <c r="B484" s="8" t="s">
        <v>665</v>
      </c>
      <c r="C484" s="122" t="s">
        <v>641</v>
      </c>
      <c r="D484" s="122" t="s">
        <v>632</v>
      </c>
      <c r="E484" s="133" t="s">
        <v>633</v>
      </c>
      <c r="F484" s="134" t="str">
        <f t="shared" si="45"/>
        <v>GLAMRR Q</v>
      </c>
      <c r="G484" s="134">
        <v>1</v>
      </c>
      <c r="H484" s="134"/>
      <c r="I484" s="147">
        <f t="shared" si="46"/>
        <v>1</v>
      </c>
      <c r="J484" s="122" t="s">
        <v>539</v>
      </c>
      <c r="K484" s="126">
        <v>46864</v>
      </c>
      <c r="L484" s="123">
        <f t="shared" ca="1" si="50"/>
        <v>46106</v>
      </c>
      <c r="M484" s="135">
        <v>30</v>
      </c>
      <c r="N484" s="150">
        <f t="shared" ca="1" si="51"/>
        <v>25.266666666666666</v>
      </c>
      <c r="O484" s="151">
        <f t="shared" ca="1" si="49"/>
        <v>0.84222222222222221</v>
      </c>
      <c r="P484" s="8"/>
      <c r="Q484" s="129"/>
      <c r="R484" s="144" t="s">
        <v>670</v>
      </c>
    </row>
    <row r="485" spans="1:18" ht="24.95" customHeight="1">
      <c r="A485" s="8" t="s">
        <v>640</v>
      </c>
      <c r="B485" s="8" t="s">
        <v>665</v>
      </c>
      <c r="C485" s="122" t="s">
        <v>641</v>
      </c>
      <c r="D485" s="122" t="s">
        <v>632</v>
      </c>
      <c r="E485" s="133" t="s">
        <v>633</v>
      </c>
      <c r="F485" s="134" t="str">
        <f t="shared" si="45"/>
        <v>GLAMRR Q</v>
      </c>
      <c r="G485" s="134">
        <v>19</v>
      </c>
      <c r="H485" s="134"/>
      <c r="I485" s="147">
        <f t="shared" si="46"/>
        <v>19</v>
      </c>
      <c r="J485" s="122" t="s">
        <v>538</v>
      </c>
      <c r="K485" s="126">
        <v>46812</v>
      </c>
      <c r="L485" s="123">
        <f t="shared" ca="1" si="50"/>
        <v>46106</v>
      </c>
      <c r="M485" s="135">
        <v>30</v>
      </c>
      <c r="N485" s="150">
        <f t="shared" ca="1" si="51"/>
        <v>23.533333333333335</v>
      </c>
      <c r="O485" s="151">
        <f t="shared" ca="1" si="49"/>
        <v>0.7844444444444445</v>
      </c>
      <c r="P485" s="8"/>
      <c r="Q485" s="129"/>
      <c r="R485" s="144" t="s">
        <v>670</v>
      </c>
    </row>
    <row r="486" spans="1:18" ht="24.95" customHeight="1">
      <c r="A486" s="8" t="s">
        <v>640</v>
      </c>
      <c r="B486" s="8" t="s">
        <v>665</v>
      </c>
      <c r="C486" s="122" t="s">
        <v>641</v>
      </c>
      <c r="D486" s="122" t="s">
        <v>632</v>
      </c>
      <c r="E486" s="133" t="s">
        <v>633</v>
      </c>
      <c r="F486" s="134" t="str">
        <f t="shared" si="45"/>
        <v>GLAMRR Q</v>
      </c>
      <c r="G486" s="134">
        <v>3</v>
      </c>
      <c r="H486" s="134"/>
      <c r="I486" s="147">
        <f t="shared" si="46"/>
        <v>3</v>
      </c>
      <c r="J486" s="122" t="s">
        <v>538</v>
      </c>
      <c r="K486" s="126">
        <v>46800</v>
      </c>
      <c r="L486" s="123">
        <f t="shared" ca="1" si="50"/>
        <v>46106</v>
      </c>
      <c r="M486" s="135">
        <v>30</v>
      </c>
      <c r="N486" s="150">
        <f t="shared" ca="1" si="51"/>
        <v>23.133333333333333</v>
      </c>
      <c r="O486" s="151">
        <f t="shared" ca="1" si="49"/>
        <v>0.77111111111111108</v>
      </c>
      <c r="P486" s="8"/>
      <c r="Q486" s="129"/>
      <c r="R486" s="144" t="s">
        <v>670</v>
      </c>
    </row>
    <row r="487" spans="1:18" ht="24.95" customHeight="1">
      <c r="A487" s="8" t="s">
        <v>640</v>
      </c>
      <c r="B487" s="8" t="s">
        <v>665</v>
      </c>
      <c r="C487" s="122" t="s">
        <v>641</v>
      </c>
      <c r="D487" s="122" t="s">
        <v>632</v>
      </c>
      <c r="E487" s="133" t="s">
        <v>633</v>
      </c>
      <c r="F487" s="134" t="str">
        <f t="shared" si="45"/>
        <v>GLAMRR Q</v>
      </c>
      <c r="G487" s="134">
        <v>2</v>
      </c>
      <c r="H487" s="134"/>
      <c r="I487" s="147">
        <f t="shared" si="46"/>
        <v>2</v>
      </c>
      <c r="J487" s="122" t="s">
        <v>538</v>
      </c>
      <c r="K487" s="126">
        <v>46864</v>
      </c>
      <c r="L487" s="123">
        <f t="shared" ca="1" si="50"/>
        <v>46106</v>
      </c>
      <c r="M487" s="135">
        <v>30</v>
      </c>
      <c r="N487" s="150">
        <f t="shared" ca="1" si="51"/>
        <v>25.266666666666666</v>
      </c>
      <c r="O487" s="151">
        <f t="shared" ca="1" si="49"/>
        <v>0.84222222222222221</v>
      </c>
      <c r="P487" s="8"/>
      <c r="Q487" s="129"/>
      <c r="R487" s="144" t="s">
        <v>670</v>
      </c>
    </row>
    <row r="488" spans="1:18" ht="24.95" customHeight="1">
      <c r="A488" s="8" t="s">
        <v>640</v>
      </c>
      <c r="B488" s="8" t="s">
        <v>665</v>
      </c>
      <c r="C488" s="122" t="s">
        <v>641</v>
      </c>
      <c r="D488" s="122" t="s">
        <v>634</v>
      </c>
      <c r="E488" s="133" t="s">
        <v>84</v>
      </c>
      <c r="F488" s="134" t="str">
        <f t="shared" si="45"/>
        <v>GLAMRR Q</v>
      </c>
      <c r="G488" s="134">
        <v>8</v>
      </c>
      <c r="H488" s="134"/>
      <c r="I488" s="147">
        <f t="shared" si="46"/>
        <v>8</v>
      </c>
      <c r="J488" s="122" t="s">
        <v>539</v>
      </c>
      <c r="K488" s="125">
        <v>46800</v>
      </c>
      <c r="L488" s="123">
        <f t="shared" ca="1" si="50"/>
        <v>46106</v>
      </c>
      <c r="M488" s="135">
        <v>30</v>
      </c>
      <c r="N488" s="150">
        <f t="shared" ca="1" si="51"/>
        <v>23.133333333333333</v>
      </c>
      <c r="O488" s="151">
        <f t="shared" ca="1" si="49"/>
        <v>0.77111111111111108</v>
      </c>
      <c r="P488" s="8"/>
      <c r="Q488" s="129"/>
      <c r="R488" s="144" t="s">
        <v>670</v>
      </c>
    </row>
    <row r="489" spans="1:18" ht="24.95" customHeight="1">
      <c r="A489" s="8" t="s">
        <v>640</v>
      </c>
      <c r="B489" s="8" t="s">
        <v>665</v>
      </c>
      <c r="C489" s="122" t="s">
        <v>641</v>
      </c>
      <c r="D489" s="122" t="s">
        <v>634</v>
      </c>
      <c r="E489" s="133" t="s">
        <v>84</v>
      </c>
      <c r="F489" s="134" t="str">
        <f t="shared" si="45"/>
        <v>GLAMRR Q</v>
      </c>
      <c r="G489" s="134">
        <v>7</v>
      </c>
      <c r="H489" s="134"/>
      <c r="I489" s="147">
        <f t="shared" si="46"/>
        <v>7</v>
      </c>
      <c r="J489" s="122" t="s">
        <v>539</v>
      </c>
      <c r="K489" s="125">
        <v>46812</v>
      </c>
      <c r="L489" s="123">
        <f t="shared" ca="1" si="50"/>
        <v>46106</v>
      </c>
      <c r="M489" s="135">
        <v>30</v>
      </c>
      <c r="N489" s="150">
        <f t="shared" ca="1" si="51"/>
        <v>23.533333333333335</v>
      </c>
      <c r="O489" s="151">
        <f t="shared" ca="1" si="49"/>
        <v>0.7844444444444445</v>
      </c>
      <c r="P489" s="8"/>
      <c r="Q489" s="129"/>
      <c r="R489" s="144" t="s">
        <v>670</v>
      </c>
    </row>
    <row r="490" spans="1:18" ht="24.95" customHeight="1">
      <c r="A490" s="8" t="s">
        <v>640</v>
      </c>
      <c r="B490" s="8" t="s">
        <v>665</v>
      </c>
      <c r="C490" s="122" t="s">
        <v>641</v>
      </c>
      <c r="D490" s="122" t="s">
        <v>634</v>
      </c>
      <c r="E490" s="133" t="s">
        <v>84</v>
      </c>
      <c r="F490" s="134" t="str">
        <f t="shared" si="45"/>
        <v>GLAMRR Q</v>
      </c>
      <c r="G490" s="134">
        <v>3</v>
      </c>
      <c r="H490" s="134"/>
      <c r="I490" s="147">
        <f t="shared" si="46"/>
        <v>3</v>
      </c>
      <c r="J490" s="122" t="s">
        <v>539</v>
      </c>
      <c r="K490" s="126">
        <v>46864</v>
      </c>
      <c r="L490" s="123">
        <f t="shared" ca="1" si="50"/>
        <v>46106</v>
      </c>
      <c r="M490" s="135">
        <v>30</v>
      </c>
      <c r="N490" s="150">
        <f t="shared" ca="1" si="51"/>
        <v>25.266666666666666</v>
      </c>
      <c r="O490" s="151">
        <f t="shared" ca="1" si="49"/>
        <v>0.84222222222222221</v>
      </c>
      <c r="P490" s="8"/>
      <c r="Q490" s="129"/>
      <c r="R490" s="144" t="s">
        <v>670</v>
      </c>
    </row>
    <row r="491" spans="1:18" ht="24.95" customHeight="1">
      <c r="A491" s="8" t="s">
        <v>640</v>
      </c>
      <c r="B491" s="8" t="s">
        <v>665</v>
      </c>
      <c r="C491" s="122" t="s">
        <v>641</v>
      </c>
      <c r="D491" s="122" t="s">
        <v>634</v>
      </c>
      <c r="E491" s="133" t="s">
        <v>84</v>
      </c>
      <c r="F491" s="134" t="str">
        <f t="shared" si="45"/>
        <v>GLAMRR Q</v>
      </c>
      <c r="G491" s="134">
        <v>16</v>
      </c>
      <c r="H491" s="134"/>
      <c r="I491" s="147">
        <f t="shared" si="46"/>
        <v>16</v>
      </c>
      <c r="J491" s="122" t="s">
        <v>538</v>
      </c>
      <c r="K491" s="125">
        <v>46800</v>
      </c>
      <c r="L491" s="123">
        <f t="shared" ca="1" si="50"/>
        <v>46106</v>
      </c>
      <c r="M491" s="135">
        <v>30</v>
      </c>
      <c r="N491" s="150">
        <f t="shared" ca="1" si="51"/>
        <v>23.133333333333333</v>
      </c>
      <c r="O491" s="151">
        <f t="shared" ca="1" si="49"/>
        <v>0.77111111111111108</v>
      </c>
      <c r="P491" s="8"/>
      <c r="Q491" s="129"/>
      <c r="R491" s="144" t="s">
        <v>670</v>
      </c>
    </row>
    <row r="492" spans="1:18" ht="24.95" customHeight="1">
      <c r="A492" s="8" t="s">
        <v>640</v>
      </c>
      <c r="B492" s="8" t="s">
        <v>665</v>
      </c>
      <c r="C492" s="122" t="s">
        <v>641</v>
      </c>
      <c r="D492" s="122" t="s">
        <v>634</v>
      </c>
      <c r="E492" s="133" t="s">
        <v>84</v>
      </c>
      <c r="F492" s="134" t="str">
        <f t="shared" si="45"/>
        <v>GLAMRR Q</v>
      </c>
      <c r="G492" s="134">
        <v>2</v>
      </c>
      <c r="H492" s="134"/>
      <c r="I492" s="147">
        <f t="shared" si="46"/>
        <v>2</v>
      </c>
      <c r="J492" s="122" t="s">
        <v>538</v>
      </c>
      <c r="K492" s="125">
        <v>46755</v>
      </c>
      <c r="L492" s="123">
        <f t="shared" ca="1" si="50"/>
        <v>46106</v>
      </c>
      <c r="M492" s="135">
        <v>30</v>
      </c>
      <c r="N492" s="150">
        <f t="shared" ca="1" si="51"/>
        <v>21.633333333333333</v>
      </c>
      <c r="O492" s="151">
        <f t="shared" ca="1" si="49"/>
        <v>0.72111111111111115</v>
      </c>
      <c r="P492" s="8"/>
      <c r="Q492" s="129"/>
      <c r="R492" s="144" t="s">
        <v>670</v>
      </c>
    </row>
    <row r="493" spans="1:18" ht="24.95" customHeight="1">
      <c r="A493" s="8" t="s">
        <v>640</v>
      </c>
      <c r="B493" s="8" t="s">
        <v>665</v>
      </c>
      <c r="C493" s="122" t="s">
        <v>641</v>
      </c>
      <c r="D493" s="122" t="s">
        <v>634</v>
      </c>
      <c r="E493" s="133" t="s">
        <v>84</v>
      </c>
      <c r="F493" s="134" t="str">
        <f t="shared" si="45"/>
        <v>GLAMRR Q</v>
      </c>
      <c r="G493" s="134">
        <v>2</v>
      </c>
      <c r="H493" s="134"/>
      <c r="I493" s="147">
        <f t="shared" si="46"/>
        <v>2</v>
      </c>
      <c r="J493" s="122" t="s">
        <v>538</v>
      </c>
      <c r="K493" s="125">
        <v>46812</v>
      </c>
      <c r="L493" s="123">
        <f t="shared" ca="1" si="50"/>
        <v>46106</v>
      </c>
      <c r="M493" s="135">
        <v>30</v>
      </c>
      <c r="N493" s="150">
        <f t="shared" ca="1" si="51"/>
        <v>23.533333333333335</v>
      </c>
      <c r="O493" s="151">
        <f t="shared" ca="1" si="49"/>
        <v>0.7844444444444445</v>
      </c>
      <c r="P493" s="8"/>
      <c r="Q493" s="129"/>
      <c r="R493" s="144" t="s">
        <v>670</v>
      </c>
    </row>
    <row r="494" spans="1:18" ht="24.95" customHeight="1">
      <c r="A494" s="8" t="s">
        <v>640</v>
      </c>
      <c r="B494" s="8" t="s">
        <v>665</v>
      </c>
      <c r="C494" s="122" t="s">
        <v>641</v>
      </c>
      <c r="D494" s="122" t="s">
        <v>635</v>
      </c>
      <c r="E494" s="133" t="s">
        <v>89</v>
      </c>
      <c r="F494" s="134" t="str">
        <f t="shared" si="45"/>
        <v>DE MEMORIA</v>
      </c>
      <c r="G494" s="134">
        <v>5</v>
      </c>
      <c r="H494" s="134"/>
      <c r="I494" s="147">
        <f t="shared" si="46"/>
        <v>5</v>
      </c>
      <c r="J494" s="122" t="s">
        <v>539</v>
      </c>
      <c r="K494" s="126">
        <v>46284</v>
      </c>
      <c r="L494" s="123">
        <f t="shared" ca="1" si="50"/>
        <v>46106</v>
      </c>
      <c r="M494" s="135">
        <v>36</v>
      </c>
      <c r="N494" s="150">
        <f t="shared" ca="1" si="51"/>
        <v>5.9333333333333336</v>
      </c>
      <c r="O494" s="151">
        <f t="shared" ca="1" si="49"/>
        <v>0.16481481481481483</v>
      </c>
      <c r="P494" s="8"/>
      <c r="Q494" s="129"/>
      <c r="R494" s="144" t="s">
        <v>670</v>
      </c>
    </row>
    <row r="495" spans="1:18" ht="24.95" customHeight="1">
      <c r="A495" s="8" t="s">
        <v>640</v>
      </c>
      <c r="B495" s="8" t="s">
        <v>665</v>
      </c>
      <c r="C495" s="122" t="s">
        <v>641</v>
      </c>
      <c r="D495" s="122" t="s">
        <v>635</v>
      </c>
      <c r="E495" s="133" t="s">
        <v>89</v>
      </c>
      <c r="F495" s="134" t="str">
        <f t="shared" si="45"/>
        <v>DE MEMORIA</v>
      </c>
      <c r="G495" s="134">
        <v>8</v>
      </c>
      <c r="H495" s="134"/>
      <c r="I495" s="147">
        <f t="shared" si="46"/>
        <v>8</v>
      </c>
      <c r="J495" s="122" t="s">
        <v>539</v>
      </c>
      <c r="K495" s="126">
        <v>46526</v>
      </c>
      <c r="L495" s="123">
        <f t="shared" ca="1" si="50"/>
        <v>46106</v>
      </c>
      <c r="M495" s="135">
        <v>36</v>
      </c>
      <c r="N495" s="150">
        <f t="shared" ca="1" si="51"/>
        <v>14</v>
      </c>
      <c r="O495" s="151">
        <f t="shared" ca="1" si="49"/>
        <v>0.3888888888888889</v>
      </c>
      <c r="P495" s="8"/>
      <c r="Q495" s="129"/>
      <c r="R495" s="144" t="s">
        <v>670</v>
      </c>
    </row>
    <row r="496" spans="1:18" ht="24.95" customHeight="1">
      <c r="A496" s="8" t="s">
        <v>640</v>
      </c>
      <c r="B496" s="8" t="s">
        <v>665</v>
      </c>
      <c r="C496" s="122" t="s">
        <v>641</v>
      </c>
      <c r="D496" s="122" t="s">
        <v>635</v>
      </c>
      <c r="E496" s="133" t="s">
        <v>89</v>
      </c>
      <c r="F496" s="134" t="str">
        <f t="shared" si="45"/>
        <v>DE MEMORIA</v>
      </c>
      <c r="G496" s="134">
        <v>5</v>
      </c>
      <c r="H496" s="134"/>
      <c r="I496" s="147">
        <f t="shared" si="46"/>
        <v>5</v>
      </c>
      <c r="J496" s="122" t="s">
        <v>538</v>
      </c>
      <c r="K496" s="126">
        <v>46526</v>
      </c>
      <c r="L496" s="123">
        <f t="shared" ca="1" si="50"/>
        <v>46106</v>
      </c>
      <c r="M496" s="135">
        <v>36</v>
      </c>
      <c r="N496" s="150">
        <f t="shared" ca="1" si="51"/>
        <v>14</v>
      </c>
      <c r="O496" s="151">
        <f t="shared" ca="1" si="49"/>
        <v>0.3888888888888889</v>
      </c>
      <c r="P496" s="8"/>
      <c r="Q496" s="129"/>
      <c r="R496" s="144" t="s">
        <v>670</v>
      </c>
    </row>
    <row r="497" spans="1:18" ht="24.95" customHeight="1">
      <c r="A497" s="8" t="s">
        <v>640</v>
      </c>
      <c r="B497" s="8" t="s">
        <v>665</v>
      </c>
      <c r="C497" s="122" t="s">
        <v>641</v>
      </c>
      <c r="D497" s="122" t="s">
        <v>635</v>
      </c>
      <c r="E497" s="133" t="s">
        <v>89</v>
      </c>
      <c r="F497" s="134" t="str">
        <f t="shared" si="45"/>
        <v>DE MEMORIA</v>
      </c>
      <c r="G497" s="134">
        <v>4</v>
      </c>
      <c r="H497" s="134"/>
      <c r="I497" s="147">
        <f t="shared" si="46"/>
        <v>4</v>
      </c>
      <c r="J497" s="122" t="s">
        <v>538</v>
      </c>
      <c r="K497" s="126">
        <v>46856</v>
      </c>
      <c r="L497" s="123">
        <f t="shared" ca="1" si="50"/>
        <v>46106</v>
      </c>
      <c r="M497" s="135">
        <v>36</v>
      </c>
      <c r="N497" s="150">
        <f t="shared" ca="1" si="51"/>
        <v>25</v>
      </c>
      <c r="O497" s="151">
        <f t="shared" ca="1" si="49"/>
        <v>0.69444444444444442</v>
      </c>
      <c r="P497" s="8"/>
      <c r="Q497" s="129"/>
      <c r="R497" s="144" t="s">
        <v>670</v>
      </c>
    </row>
    <row r="498" spans="1:18" ht="24.95" customHeight="1">
      <c r="A498" s="8" t="s">
        <v>640</v>
      </c>
      <c r="B498" s="8" t="s">
        <v>665</v>
      </c>
      <c r="C498" s="122" t="s">
        <v>641</v>
      </c>
      <c r="D498" s="122" t="s">
        <v>635</v>
      </c>
      <c r="E498" s="133" t="s">
        <v>89</v>
      </c>
      <c r="F498" s="134" t="str">
        <f t="shared" si="45"/>
        <v>DE MEMORIA</v>
      </c>
      <c r="G498" s="134">
        <v>1</v>
      </c>
      <c r="H498" s="134"/>
      <c r="I498" s="147">
        <f t="shared" si="46"/>
        <v>1</v>
      </c>
      <c r="J498" s="122" t="s">
        <v>538</v>
      </c>
      <c r="K498" s="126">
        <v>46412</v>
      </c>
      <c r="L498" s="123">
        <f t="shared" ca="1" si="50"/>
        <v>46106</v>
      </c>
      <c r="M498" s="135">
        <v>36</v>
      </c>
      <c r="N498" s="150">
        <f t="shared" ca="1" si="51"/>
        <v>10.199999999999999</v>
      </c>
      <c r="O498" s="151">
        <f t="shared" ca="1" si="49"/>
        <v>0.28333333333333333</v>
      </c>
      <c r="P498" s="8"/>
      <c r="Q498" s="129"/>
      <c r="R498" s="144" t="s">
        <v>670</v>
      </c>
    </row>
    <row r="499" spans="1:18" ht="24.95" customHeight="1">
      <c r="A499" s="8" t="s">
        <v>640</v>
      </c>
      <c r="B499" s="8" t="s">
        <v>665</v>
      </c>
      <c r="C499" s="122" t="s">
        <v>641</v>
      </c>
      <c r="D499" s="122" t="s">
        <v>636</v>
      </c>
      <c r="E499" s="133" t="s">
        <v>347</v>
      </c>
      <c r="F499" s="134" t="str">
        <f t="shared" si="45"/>
        <v>DE MEMORIA</v>
      </c>
      <c r="G499" s="134">
        <v>10</v>
      </c>
      <c r="H499" s="134"/>
      <c r="I499" s="147">
        <f t="shared" si="46"/>
        <v>10</v>
      </c>
      <c r="J499" s="122" t="s">
        <v>539</v>
      </c>
      <c r="K499" s="126">
        <v>46649</v>
      </c>
      <c r="L499" s="123">
        <f t="shared" ca="1" si="50"/>
        <v>46106</v>
      </c>
      <c r="M499" s="135">
        <v>36</v>
      </c>
      <c r="N499" s="150">
        <f t="shared" ca="1" si="51"/>
        <v>18.100000000000001</v>
      </c>
      <c r="O499" s="151">
        <f t="shared" ca="1" si="49"/>
        <v>0.50277777777777777</v>
      </c>
      <c r="P499" s="8"/>
      <c r="Q499" s="129"/>
      <c r="R499" s="144" t="s">
        <v>670</v>
      </c>
    </row>
    <row r="500" spans="1:18" ht="24.95" customHeight="1">
      <c r="A500" s="8" t="s">
        <v>640</v>
      </c>
      <c r="B500" s="8" t="s">
        <v>665</v>
      </c>
      <c r="C500" s="122" t="s">
        <v>641</v>
      </c>
      <c r="D500" s="122" t="s">
        <v>636</v>
      </c>
      <c r="E500" s="133" t="s">
        <v>347</v>
      </c>
      <c r="F500" s="134" t="str">
        <f t="shared" si="45"/>
        <v>DE MEMORIA</v>
      </c>
      <c r="G500" s="134">
        <v>6</v>
      </c>
      <c r="H500" s="134"/>
      <c r="I500" s="147">
        <f t="shared" si="46"/>
        <v>6</v>
      </c>
      <c r="J500" s="122" t="s">
        <v>539</v>
      </c>
      <c r="K500" s="126">
        <v>46825</v>
      </c>
      <c r="L500" s="123">
        <f t="shared" ca="1" si="50"/>
        <v>46106</v>
      </c>
      <c r="M500" s="135">
        <v>36</v>
      </c>
      <c r="N500" s="150">
        <f t="shared" ca="1" si="51"/>
        <v>23.966666666666665</v>
      </c>
      <c r="O500" s="151">
        <f t="shared" ca="1" si="49"/>
        <v>0.66574074074074074</v>
      </c>
      <c r="P500" s="8"/>
      <c r="Q500" s="129"/>
      <c r="R500" s="144" t="s">
        <v>670</v>
      </c>
    </row>
    <row r="501" spans="1:18" ht="24.95" customHeight="1">
      <c r="A501" s="8" t="s">
        <v>640</v>
      </c>
      <c r="B501" s="8" t="s">
        <v>665</v>
      </c>
      <c r="C501" s="122" t="s">
        <v>641</v>
      </c>
      <c r="D501" s="122" t="s">
        <v>636</v>
      </c>
      <c r="E501" s="133" t="s">
        <v>347</v>
      </c>
      <c r="F501" s="134" t="str">
        <f t="shared" si="45"/>
        <v>DE MEMORIA</v>
      </c>
      <c r="G501" s="134">
        <v>4</v>
      </c>
      <c r="H501" s="134"/>
      <c r="I501" s="147">
        <f t="shared" si="46"/>
        <v>4</v>
      </c>
      <c r="J501" s="122" t="s">
        <v>538</v>
      </c>
      <c r="K501" s="126">
        <v>46825</v>
      </c>
      <c r="L501" s="123">
        <f t="shared" ca="1" si="50"/>
        <v>46106</v>
      </c>
      <c r="M501" s="135">
        <v>36</v>
      </c>
      <c r="N501" s="150">
        <f t="shared" ca="1" si="51"/>
        <v>23.966666666666665</v>
      </c>
      <c r="O501" s="151">
        <f t="shared" ca="1" si="49"/>
        <v>0.66574074074074074</v>
      </c>
      <c r="P501" s="8"/>
      <c r="Q501" s="129"/>
      <c r="R501" s="144" t="s">
        <v>670</v>
      </c>
    </row>
    <row r="502" spans="1:18" ht="24.95" customHeight="1">
      <c r="A502" s="8" t="s">
        <v>640</v>
      </c>
      <c r="B502" s="8" t="s">
        <v>665</v>
      </c>
      <c r="C502" s="122" t="s">
        <v>641</v>
      </c>
      <c r="D502" s="122" t="s">
        <v>636</v>
      </c>
      <c r="E502" s="133" t="s">
        <v>347</v>
      </c>
      <c r="F502" s="134" t="str">
        <f t="shared" si="45"/>
        <v>DE MEMORIA</v>
      </c>
      <c r="G502" s="134">
        <v>1</v>
      </c>
      <c r="H502" s="134"/>
      <c r="I502" s="147">
        <f t="shared" si="46"/>
        <v>1</v>
      </c>
      <c r="J502" s="122" t="s">
        <v>538</v>
      </c>
      <c r="K502" s="126">
        <v>46649</v>
      </c>
      <c r="L502" s="123">
        <f t="shared" ca="1" si="50"/>
        <v>46106</v>
      </c>
      <c r="M502" s="135">
        <v>36</v>
      </c>
      <c r="N502" s="150">
        <f t="shared" ca="1" si="51"/>
        <v>18.100000000000001</v>
      </c>
      <c r="O502" s="151">
        <f t="shared" ca="1" si="49"/>
        <v>0.50277777777777777</v>
      </c>
      <c r="P502" s="8"/>
      <c r="Q502" s="129"/>
      <c r="R502" s="144" t="s">
        <v>670</v>
      </c>
    </row>
    <row r="503" spans="1:18" ht="24.95" customHeight="1">
      <c r="A503" s="8" t="s">
        <v>640</v>
      </c>
      <c r="B503" s="8" t="s">
        <v>665</v>
      </c>
      <c r="C503" s="122" t="s">
        <v>641</v>
      </c>
      <c r="D503" s="122" t="s">
        <v>637</v>
      </c>
      <c r="E503" s="133" t="s">
        <v>350</v>
      </c>
      <c r="F503" s="134" t="str">
        <f t="shared" si="45"/>
        <v>DE MEMORIA</v>
      </c>
      <c r="G503" s="134">
        <v>66</v>
      </c>
      <c r="H503" s="134"/>
      <c r="I503" s="147">
        <f t="shared" si="46"/>
        <v>66</v>
      </c>
      <c r="J503" s="122" t="s">
        <v>539</v>
      </c>
      <c r="K503" s="125">
        <v>46284</v>
      </c>
      <c r="L503" s="123">
        <f t="shared" ca="1" si="50"/>
        <v>46106</v>
      </c>
      <c r="M503" s="135">
        <v>36</v>
      </c>
      <c r="N503" s="150">
        <f t="shared" ca="1" si="51"/>
        <v>5.9333333333333336</v>
      </c>
      <c r="O503" s="151">
        <f t="shared" ca="1" si="49"/>
        <v>0.16481481481481483</v>
      </c>
      <c r="P503" s="8"/>
      <c r="Q503" s="129"/>
      <c r="R503" s="144" t="s">
        <v>670</v>
      </c>
    </row>
    <row r="504" spans="1:18" ht="24.95" customHeight="1">
      <c r="A504" s="8" t="s">
        <v>640</v>
      </c>
      <c r="B504" s="8" t="s">
        <v>665</v>
      </c>
      <c r="C504" s="122" t="s">
        <v>641</v>
      </c>
      <c r="D504" s="122" t="s">
        <v>638</v>
      </c>
      <c r="E504" s="133" t="s">
        <v>348</v>
      </c>
      <c r="F504" s="134" t="str">
        <f t="shared" si="45"/>
        <v>DE MEMORIA</v>
      </c>
      <c r="G504" s="134">
        <v>5</v>
      </c>
      <c r="H504" s="134"/>
      <c r="I504" s="147">
        <f t="shared" si="46"/>
        <v>5</v>
      </c>
      <c r="J504" s="122" t="s">
        <v>539</v>
      </c>
      <c r="K504" s="125">
        <v>46284</v>
      </c>
      <c r="L504" s="123">
        <f t="shared" ca="1" si="50"/>
        <v>46106</v>
      </c>
      <c r="M504" s="135">
        <v>36</v>
      </c>
      <c r="N504" s="150">
        <f t="shared" ca="1" si="51"/>
        <v>5.9333333333333336</v>
      </c>
      <c r="O504" s="151">
        <f t="shared" ca="1" si="49"/>
        <v>0.16481481481481483</v>
      </c>
      <c r="P504" s="8"/>
      <c r="Q504" s="129"/>
      <c r="R504" s="144" t="s">
        <v>670</v>
      </c>
    </row>
    <row r="505" spans="1:18" ht="24.95" customHeight="1">
      <c r="A505" s="8" t="s">
        <v>640</v>
      </c>
      <c r="B505" s="8" t="s">
        <v>665</v>
      </c>
      <c r="C505" s="122" t="s">
        <v>641</v>
      </c>
      <c r="D505" s="122" t="s">
        <v>638</v>
      </c>
      <c r="E505" s="133" t="s">
        <v>348</v>
      </c>
      <c r="F505" s="134" t="str">
        <f t="shared" si="45"/>
        <v>DE MEMORIA</v>
      </c>
      <c r="G505" s="134">
        <v>6</v>
      </c>
      <c r="H505" s="134"/>
      <c r="I505" s="147">
        <f t="shared" si="46"/>
        <v>6</v>
      </c>
      <c r="J505" s="122" t="s">
        <v>538</v>
      </c>
      <c r="K505" s="125">
        <v>46284</v>
      </c>
      <c r="L505" s="123">
        <f t="shared" ca="1" si="50"/>
        <v>46106</v>
      </c>
      <c r="M505" s="135">
        <v>36</v>
      </c>
      <c r="N505" s="150">
        <f t="shared" ca="1" si="51"/>
        <v>5.9333333333333336</v>
      </c>
      <c r="O505" s="151">
        <f t="shared" ca="1" si="49"/>
        <v>0.16481481481481483</v>
      </c>
      <c r="P505" s="8"/>
      <c r="Q505" s="129"/>
      <c r="R505" s="144" t="s">
        <v>670</v>
      </c>
    </row>
    <row r="506" spans="1:18" ht="24.95" customHeight="1">
      <c r="A506" s="8" t="s">
        <v>640</v>
      </c>
      <c r="B506" s="8" t="s">
        <v>665</v>
      </c>
      <c r="C506" s="122" t="s">
        <v>641</v>
      </c>
      <c r="D506" s="122" t="s">
        <v>639</v>
      </c>
      <c r="E506" s="133" t="s">
        <v>349</v>
      </c>
      <c r="F506" s="134" t="str">
        <f t="shared" si="45"/>
        <v>DE MEMORIA</v>
      </c>
      <c r="G506" s="134">
        <v>3</v>
      </c>
      <c r="H506" s="134"/>
      <c r="I506" s="147">
        <f t="shared" si="46"/>
        <v>3</v>
      </c>
      <c r="J506" s="122" t="s">
        <v>539</v>
      </c>
      <c r="K506" s="125">
        <v>46412</v>
      </c>
      <c r="L506" s="123">
        <f t="shared" ca="1" si="50"/>
        <v>46106</v>
      </c>
      <c r="M506" s="135">
        <v>36</v>
      </c>
      <c r="N506" s="150">
        <f t="shared" ca="1" si="51"/>
        <v>10.199999999999999</v>
      </c>
      <c r="O506" s="151">
        <f t="shared" ca="1" si="49"/>
        <v>0.28333333333333333</v>
      </c>
      <c r="P506" s="8"/>
      <c r="Q506" s="129"/>
      <c r="R506" s="144" t="s">
        <v>670</v>
      </c>
    </row>
    <row r="507" spans="1:18" ht="24.95" customHeight="1">
      <c r="A507" s="8" t="s">
        <v>640</v>
      </c>
      <c r="B507" s="8" t="s">
        <v>665</v>
      </c>
      <c r="C507" s="122" t="s">
        <v>641</v>
      </c>
      <c r="D507" s="122" t="s">
        <v>639</v>
      </c>
      <c r="E507" s="133" t="s">
        <v>349</v>
      </c>
      <c r="F507" s="134" t="str">
        <f t="shared" si="45"/>
        <v>DE MEMORIA</v>
      </c>
      <c r="G507" s="134">
        <v>2</v>
      </c>
      <c r="H507" s="134"/>
      <c r="I507" s="147">
        <f t="shared" si="46"/>
        <v>2</v>
      </c>
      <c r="J507" s="122" t="s">
        <v>539</v>
      </c>
      <c r="K507" s="125">
        <v>46856</v>
      </c>
      <c r="L507" s="123">
        <f t="shared" ca="1" si="50"/>
        <v>46106</v>
      </c>
      <c r="M507" s="135">
        <v>36</v>
      </c>
      <c r="N507" s="150">
        <f t="shared" ca="1" si="51"/>
        <v>25</v>
      </c>
      <c r="O507" s="151">
        <f t="shared" ca="1" si="49"/>
        <v>0.69444444444444442</v>
      </c>
      <c r="P507" s="8"/>
      <c r="Q507" s="129"/>
      <c r="R507" s="144" t="s">
        <v>670</v>
      </c>
    </row>
    <row r="508" spans="1:18" ht="24.95" customHeight="1">
      <c r="A508" s="8" t="s">
        <v>640</v>
      </c>
      <c r="B508" s="8" t="s">
        <v>665</v>
      </c>
      <c r="C508" s="122" t="s">
        <v>641</v>
      </c>
      <c r="D508" s="122" t="s">
        <v>639</v>
      </c>
      <c r="E508" s="133" t="s">
        <v>349</v>
      </c>
      <c r="F508" s="134" t="str">
        <f t="shared" si="45"/>
        <v>DE MEMORIA</v>
      </c>
      <c r="G508" s="134">
        <v>15</v>
      </c>
      <c r="H508" s="134"/>
      <c r="I508" s="147">
        <f t="shared" si="46"/>
        <v>15</v>
      </c>
      <c r="J508" s="122" t="s">
        <v>538</v>
      </c>
      <c r="K508" s="125">
        <v>46856</v>
      </c>
      <c r="L508" s="123">
        <f t="shared" ca="1" si="50"/>
        <v>46106</v>
      </c>
      <c r="M508" s="135">
        <v>36</v>
      </c>
      <c r="N508" s="150">
        <f t="shared" ca="1" si="51"/>
        <v>25</v>
      </c>
      <c r="O508" s="151">
        <f t="shared" ca="1" si="49"/>
        <v>0.69444444444444442</v>
      </c>
      <c r="P508" s="8"/>
      <c r="Q508" s="129"/>
      <c r="R508" s="144" t="s">
        <v>670</v>
      </c>
    </row>
    <row r="509" spans="1:18" ht="24.95" customHeight="1">
      <c r="A509" s="8" t="s">
        <v>78</v>
      </c>
      <c r="B509" s="8" t="s">
        <v>85</v>
      </c>
      <c r="C509" s="8" t="s">
        <v>647</v>
      </c>
      <c r="D509" s="115" t="s">
        <v>544</v>
      </c>
      <c r="E509" s="121" t="str">
        <f>VLOOKUP(D509,[1]Sheet1!$D:$E,2,0)</f>
        <v>Chì kẻ mày GLAMRR Q (VEGAN SUPER STAY BROW PENCIL #01 BROWN SUGAR, 0.08g)</v>
      </c>
      <c r="F509" s="134" t="str">
        <f t="shared" si="45"/>
        <v>GLAMRR Q</v>
      </c>
      <c r="G509" s="156">
        <v>1</v>
      </c>
      <c r="H509" s="156"/>
      <c r="I509" s="147">
        <f t="shared" si="46"/>
        <v>1</v>
      </c>
      <c r="J509" s="8" t="s">
        <v>39</v>
      </c>
      <c r="K509" s="120" t="s">
        <v>648</v>
      </c>
      <c r="L509" s="157">
        <v>46084</v>
      </c>
      <c r="M509" s="158">
        <v>36</v>
      </c>
      <c r="N509" s="159" t="e">
        <f t="shared" ref="N509:N557" si="52">(K509-L509)/30</f>
        <v>#VALUE!</v>
      </c>
      <c r="O509" s="160" t="e">
        <f>N509/M509</f>
        <v>#VALUE!</v>
      </c>
      <c r="P509" s="161"/>
      <c r="Q509" s="129"/>
      <c r="R509" s="144" t="s">
        <v>670</v>
      </c>
    </row>
    <row r="510" spans="1:18" ht="24.95" customHeight="1">
      <c r="A510" s="8" t="s">
        <v>78</v>
      </c>
      <c r="B510" s="8" t="s">
        <v>85</v>
      </c>
      <c r="C510" s="8" t="s">
        <v>647</v>
      </c>
      <c r="D510" s="115" t="s">
        <v>56</v>
      </c>
      <c r="E510" s="121" t="str">
        <f>VLOOKUP(D510,[1]Sheet1!$D:$E,2,0)</f>
        <v>Mặt nạ ngủ môi GLAMRR Q (VEGAN B5 SUPER LIP SLEEPING MASK, 10ml)</v>
      </c>
      <c r="F510" s="134" t="str">
        <f t="shared" si="45"/>
        <v>GLAMRR Q</v>
      </c>
      <c r="G510" s="156">
        <v>3</v>
      </c>
      <c r="H510" s="156"/>
      <c r="I510" s="147">
        <f t="shared" si="46"/>
        <v>3</v>
      </c>
      <c r="J510" s="8" t="s">
        <v>39</v>
      </c>
      <c r="K510" s="120">
        <v>46481</v>
      </c>
      <c r="L510" s="157">
        <v>46084</v>
      </c>
      <c r="M510" s="158">
        <v>36</v>
      </c>
      <c r="N510" s="159">
        <f t="shared" si="52"/>
        <v>13.233333333333333</v>
      </c>
      <c r="O510" s="160">
        <f t="shared" ref="O510:O557" si="53">N510/M510</f>
        <v>0.36759259259259258</v>
      </c>
      <c r="P510" s="161"/>
      <c r="Q510" s="129"/>
      <c r="R510" s="144" t="s">
        <v>670</v>
      </c>
    </row>
    <row r="511" spans="1:18" ht="24.95" customHeight="1">
      <c r="A511" s="8" t="s">
        <v>78</v>
      </c>
      <c r="B511" s="8" t="s">
        <v>85</v>
      </c>
      <c r="C511" s="8" t="s">
        <v>647</v>
      </c>
      <c r="D511" s="115" t="s">
        <v>68</v>
      </c>
      <c r="E511" s="121" t="str">
        <f>VLOOKUP(D511,[1]Sheet1!$D:$E,2,0)</f>
        <v>Phấn nước trang điểm GLAMRR Q (LONG WEAR DD CUSHION #01 LIGHT BEIGE, 13g)</v>
      </c>
      <c r="F511" s="134" t="str">
        <f t="shared" si="45"/>
        <v>GLAMRR Q</v>
      </c>
      <c r="G511" s="156">
        <v>16</v>
      </c>
      <c r="H511" s="156"/>
      <c r="I511" s="147">
        <f t="shared" si="46"/>
        <v>16</v>
      </c>
      <c r="J511" s="8" t="s">
        <v>39</v>
      </c>
      <c r="K511" s="120">
        <v>46403</v>
      </c>
      <c r="L511" s="157">
        <v>46084</v>
      </c>
      <c r="M511" s="158">
        <v>36</v>
      </c>
      <c r="N511" s="159">
        <f t="shared" si="52"/>
        <v>10.633333333333333</v>
      </c>
      <c r="O511" s="160">
        <f t="shared" si="53"/>
        <v>0.29537037037037034</v>
      </c>
      <c r="P511" s="161"/>
      <c r="Q511" s="129"/>
      <c r="R511" s="144" t="s">
        <v>670</v>
      </c>
    </row>
    <row r="512" spans="1:18" ht="24.95" customHeight="1">
      <c r="A512" s="8" t="s">
        <v>78</v>
      </c>
      <c r="B512" s="8" t="s">
        <v>85</v>
      </c>
      <c r="C512" s="8" t="s">
        <v>647</v>
      </c>
      <c r="D512" s="115" t="s">
        <v>68</v>
      </c>
      <c r="E512" s="121" t="str">
        <f>VLOOKUP(D512,[1]Sheet1!$D:$E,2,0)</f>
        <v>Phấn nước trang điểm GLAMRR Q (LONG WEAR DD CUSHION #01 LIGHT BEIGE, 13g)</v>
      </c>
      <c r="F512" s="134" t="str">
        <f t="shared" si="45"/>
        <v>GLAMRR Q</v>
      </c>
      <c r="G512" s="156">
        <v>2</v>
      </c>
      <c r="H512" s="156"/>
      <c r="I512" s="147">
        <f t="shared" si="46"/>
        <v>2</v>
      </c>
      <c r="J512" s="8" t="s">
        <v>39</v>
      </c>
      <c r="K512" s="120">
        <v>46438</v>
      </c>
      <c r="L512" s="157">
        <v>46084</v>
      </c>
      <c r="M512" s="158">
        <v>36</v>
      </c>
      <c r="N512" s="159">
        <f t="shared" si="52"/>
        <v>11.8</v>
      </c>
      <c r="O512" s="160">
        <f t="shared" si="53"/>
        <v>0.32777777777777778</v>
      </c>
      <c r="P512" s="161"/>
      <c r="Q512" s="129"/>
      <c r="R512" s="144" t="s">
        <v>670</v>
      </c>
    </row>
    <row r="513" spans="1:18" ht="24.95" customHeight="1">
      <c r="A513" s="8" t="s">
        <v>78</v>
      </c>
      <c r="B513" s="8" t="s">
        <v>85</v>
      </c>
      <c r="C513" s="8" t="s">
        <v>647</v>
      </c>
      <c r="D513" s="115" t="s">
        <v>68</v>
      </c>
      <c r="E513" s="121" t="str">
        <f>VLOOKUP(D513,[1]Sheet1!$D:$E,2,0)</f>
        <v>Phấn nước trang điểm GLAMRR Q (LONG WEAR DD CUSHION #01 LIGHT BEIGE, 13g)</v>
      </c>
      <c r="F513" s="134" t="str">
        <f t="shared" ref="F513:F557" si="54">IF(ISNUMBER(SEARCH("gilaa",E513)),"GILAA",
IF(ISNUMBER(SEARCH("GLAMRR Q",E513)),"GLAMRR Q",
IF(ISNUMBER(SEARCH("BAD PEACH",E513)),"BAD PEACH",
IF(ISNUMBER(SEARCH("VEGICK",E513)),"VEGICK",
IF(ISNUMBER(SEARCH("DE MEMORIA",E513)),"DE MEMORIA",
IF(ISNUMBER(SEARCH("MUDE",E513)),"MUDE",
IF(ISNUMBER(SEARCH("daoida",E513)),"DAOIDA",IF(ISNUMBER(SEARCH("MEDIFORCELL",E513)),"MEDIFORCELL",IF(ISNUMBER(SEARCH("PLU",E513)),"PLU","")))))))))</f>
        <v>GLAMRR Q</v>
      </c>
      <c r="G513" s="156">
        <v>1</v>
      </c>
      <c r="H513" s="156"/>
      <c r="I513" s="147">
        <f t="shared" si="46"/>
        <v>1</v>
      </c>
      <c r="J513" s="8" t="s">
        <v>39</v>
      </c>
      <c r="K513" s="120">
        <v>46466</v>
      </c>
      <c r="L513" s="157">
        <v>46084</v>
      </c>
      <c r="M513" s="158">
        <v>36</v>
      </c>
      <c r="N513" s="159">
        <f t="shared" si="52"/>
        <v>12.733333333333333</v>
      </c>
      <c r="O513" s="160">
        <f t="shared" si="53"/>
        <v>0.35370370370370369</v>
      </c>
      <c r="P513" s="161"/>
      <c r="Q513" s="129"/>
      <c r="R513" s="144" t="s">
        <v>670</v>
      </c>
    </row>
    <row r="514" spans="1:18" ht="24.95" customHeight="1">
      <c r="A514" s="8" t="s">
        <v>78</v>
      </c>
      <c r="B514" s="8" t="s">
        <v>85</v>
      </c>
      <c r="C514" s="8" t="s">
        <v>647</v>
      </c>
      <c r="D514" s="115" t="s">
        <v>68</v>
      </c>
      <c r="E514" s="121" t="str">
        <f>VLOOKUP(D514,[1]Sheet1!$D:$E,2,0)</f>
        <v>Phấn nước trang điểm GLAMRR Q (LONG WEAR DD CUSHION #01 LIGHT BEIGE, 13g)</v>
      </c>
      <c r="F514" s="134" t="str">
        <f t="shared" si="54"/>
        <v>GLAMRR Q</v>
      </c>
      <c r="G514" s="156">
        <v>22</v>
      </c>
      <c r="H514" s="156"/>
      <c r="I514" s="147">
        <f t="shared" si="46"/>
        <v>22</v>
      </c>
      <c r="J514" s="8" t="s">
        <v>39</v>
      </c>
      <c r="K514" s="120">
        <v>46494</v>
      </c>
      <c r="L514" s="157">
        <v>46084</v>
      </c>
      <c r="M514" s="158">
        <v>36</v>
      </c>
      <c r="N514" s="159">
        <f t="shared" si="52"/>
        <v>13.666666666666666</v>
      </c>
      <c r="O514" s="160">
        <f t="shared" si="53"/>
        <v>0.37962962962962959</v>
      </c>
      <c r="P514" s="161"/>
      <c r="Q514" s="129"/>
      <c r="R514" s="144" t="s">
        <v>670</v>
      </c>
    </row>
    <row r="515" spans="1:18" ht="24.95" customHeight="1">
      <c r="A515" s="8" t="s">
        <v>78</v>
      </c>
      <c r="B515" s="8" t="s">
        <v>85</v>
      </c>
      <c r="C515" s="8" t="s">
        <v>647</v>
      </c>
      <c r="D515" s="115" t="s">
        <v>68</v>
      </c>
      <c r="E515" s="121" t="str">
        <f>VLOOKUP(D515,[1]Sheet1!$D:$E,2,0)</f>
        <v>Phấn nước trang điểm GLAMRR Q (LONG WEAR DD CUSHION #01 LIGHT BEIGE, 13g)</v>
      </c>
      <c r="F515" s="134" t="str">
        <f t="shared" si="54"/>
        <v>GLAMRR Q</v>
      </c>
      <c r="G515" s="156">
        <v>9</v>
      </c>
      <c r="H515" s="156"/>
      <c r="I515" s="147">
        <f t="shared" ref="I515:I557" si="55">G515-H515</f>
        <v>9</v>
      </c>
      <c r="J515" s="8" t="s">
        <v>39</v>
      </c>
      <c r="K515" s="120">
        <v>46692</v>
      </c>
      <c r="L515" s="157">
        <v>46084</v>
      </c>
      <c r="M515" s="158">
        <v>36</v>
      </c>
      <c r="N515" s="159">
        <f t="shared" si="52"/>
        <v>20.266666666666666</v>
      </c>
      <c r="O515" s="160">
        <f t="shared" si="53"/>
        <v>0.56296296296296289</v>
      </c>
      <c r="P515" s="161"/>
      <c r="Q515" s="129"/>
      <c r="R515" s="144" t="s">
        <v>670</v>
      </c>
    </row>
    <row r="516" spans="1:18" ht="24.95" customHeight="1">
      <c r="A516" s="8" t="s">
        <v>78</v>
      </c>
      <c r="B516" s="8" t="s">
        <v>85</v>
      </c>
      <c r="C516" s="8" t="s">
        <v>647</v>
      </c>
      <c r="D516" s="115" t="s">
        <v>68</v>
      </c>
      <c r="E516" s="121" t="str">
        <f>VLOOKUP(D516,[1]Sheet1!$D:$E,2,0)</f>
        <v>Phấn nước trang điểm GLAMRR Q (LONG WEAR DD CUSHION #01 LIGHT BEIGE, 13g)</v>
      </c>
      <c r="F516" s="134" t="str">
        <f t="shared" si="54"/>
        <v>GLAMRR Q</v>
      </c>
      <c r="G516" s="156">
        <v>5</v>
      </c>
      <c r="H516" s="156"/>
      <c r="I516" s="147">
        <f t="shared" si="55"/>
        <v>5</v>
      </c>
      <c r="J516" s="8" t="s">
        <v>39</v>
      </c>
      <c r="K516" s="120">
        <v>46708</v>
      </c>
      <c r="L516" s="157">
        <v>46084</v>
      </c>
      <c r="M516" s="158">
        <v>36</v>
      </c>
      <c r="N516" s="159">
        <f t="shared" si="52"/>
        <v>20.8</v>
      </c>
      <c r="O516" s="160">
        <f t="shared" si="53"/>
        <v>0.57777777777777783</v>
      </c>
      <c r="P516" s="161"/>
      <c r="Q516" s="129"/>
      <c r="R516" s="144" t="s">
        <v>670</v>
      </c>
    </row>
    <row r="517" spans="1:18" ht="24.95" customHeight="1">
      <c r="A517" s="8" t="s">
        <v>78</v>
      </c>
      <c r="B517" s="8" t="s">
        <v>85</v>
      </c>
      <c r="C517" s="8" t="s">
        <v>647</v>
      </c>
      <c r="D517" s="115" t="s">
        <v>68</v>
      </c>
      <c r="E517" s="121" t="str">
        <f>VLOOKUP(D517,[1]Sheet1!$D:$E,2,0)</f>
        <v>Phấn nước trang điểm GLAMRR Q (LONG WEAR DD CUSHION #01 LIGHT BEIGE, 13g)</v>
      </c>
      <c r="F517" s="134" t="str">
        <f t="shared" si="54"/>
        <v>GLAMRR Q</v>
      </c>
      <c r="G517" s="156">
        <v>16</v>
      </c>
      <c r="H517" s="156"/>
      <c r="I517" s="147">
        <f t="shared" si="55"/>
        <v>16</v>
      </c>
      <c r="J517" s="8" t="s">
        <v>39</v>
      </c>
      <c r="K517" s="120">
        <v>46809</v>
      </c>
      <c r="L517" s="157">
        <v>46084</v>
      </c>
      <c r="M517" s="158">
        <v>36</v>
      </c>
      <c r="N517" s="159">
        <f t="shared" si="52"/>
        <v>24.166666666666668</v>
      </c>
      <c r="O517" s="160">
        <f t="shared" si="53"/>
        <v>0.67129629629629628</v>
      </c>
      <c r="P517" s="161"/>
      <c r="Q517" s="129"/>
      <c r="R517" s="144" t="s">
        <v>670</v>
      </c>
    </row>
    <row r="518" spans="1:18" ht="24.95" customHeight="1">
      <c r="A518" s="8" t="s">
        <v>78</v>
      </c>
      <c r="B518" s="8" t="s">
        <v>85</v>
      </c>
      <c r="C518" s="8" t="s">
        <v>647</v>
      </c>
      <c r="D518" s="115" t="s">
        <v>68</v>
      </c>
      <c r="E518" s="121" t="str">
        <f>VLOOKUP(D518,[1]Sheet1!$D:$E,2,0)</f>
        <v>Phấn nước trang điểm GLAMRR Q (LONG WEAR DD CUSHION #01 LIGHT BEIGE, 13g)</v>
      </c>
      <c r="F518" s="134" t="str">
        <f t="shared" si="54"/>
        <v>GLAMRR Q</v>
      </c>
      <c r="G518" s="156">
        <v>29</v>
      </c>
      <c r="H518" s="156"/>
      <c r="I518" s="147">
        <f t="shared" si="55"/>
        <v>29</v>
      </c>
      <c r="J518" s="8" t="s">
        <v>39</v>
      </c>
      <c r="K518" s="120">
        <v>46845</v>
      </c>
      <c r="L518" s="157">
        <v>46084</v>
      </c>
      <c r="M518" s="158">
        <v>36</v>
      </c>
      <c r="N518" s="159">
        <f t="shared" si="52"/>
        <v>25.366666666666667</v>
      </c>
      <c r="O518" s="160">
        <f t="shared" si="53"/>
        <v>0.70462962962962961</v>
      </c>
      <c r="P518" s="161"/>
      <c r="Q518" s="129"/>
      <c r="R518" s="144" t="s">
        <v>670</v>
      </c>
    </row>
    <row r="519" spans="1:18" ht="24.95" customHeight="1">
      <c r="A519" s="8" t="s">
        <v>78</v>
      </c>
      <c r="B519" s="8" t="s">
        <v>85</v>
      </c>
      <c r="C519" s="8" t="s">
        <v>647</v>
      </c>
      <c r="D519" s="115" t="s">
        <v>68</v>
      </c>
      <c r="E519" s="121" t="str">
        <f>VLOOKUP(D519,[1]Sheet1!$D:$E,2,0)</f>
        <v>Phấn nước trang điểm GLAMRR Q (LONG WEAR DD CUSHION #01 LIGHT BEIGE, 13g)</v>
      </c>
      <c r="F519" s="134" t="str">
        <f t="shared" si="54"/>
        <v>GLAMRR Q</v>
      </c>
      <c r="G519" s="156">
        <v>17</v>
      </c>
      <c r="H519" s="156"/>
      <c r="I519" s="147">
        <f t="shared" si="55"/>
        <v>17</v>
      </c>
      <c r="J519" s="8" t="s">
        <v>39</v>
      </c>
      <c r="K519" s="120">
        <v>46864</v>
      </c>
      <c r="L519" s="157">
        <v>46084</v>
      </c>
      <c r="M519" s="158">
        <v>36</v>
      </c>
      <c r="N519" s="159">
        <f t="shared" si="52"/>
        <v>26</v>
      </c>
      <c r="O519" s="160">
        <f t="shared" si="53"/>
        <v>0.72222222222222221</v>
      </c>
      <c r="P519" s="161"/>
      <c r="Q519" s="129"/>
      <c r="R519" s="144" t="s">
        <v>670</v>
      </c>
    </row>
    <row r="520" spans="1:18" ht="24.95" customHeight="1">
      <c r="A520" s="8" t="s">
        <v>78</v>
      </c>
      <c r="B520" s="8" t="s">
        <v>85</v>
      </c>
      <c r="C520" s="8" t="s">
        <v>647</v>
      </c>
      <c r="D520" s="115" t="s">
        <v>68</v>
      </c>
      <c r="E520" s="121" t="str">
        <f>VLOOKUP(D520,[1]Sheet1!$D:$E,2,0)</f>
        <v>Phấn nước trang điểm GLAMRR Q (LONG WEAR DD CUSHION #01 LIGHT BEIGE, 13g)</v>
      </c>
      <c r="F520" s="134" t="str">
        <f t="shared" si="54"/>
        <v>GLAMRR Q</v>
      </c>
      <c r="G520" s="156">
        <v>47</v>
      </c>
      <c r="H520" s="156"/>
      <c r="I520" s="147">
        <f t="shared" si="55"/>
        <v>47</v>
      </c>
      <c r="J520" s="8" t="s">
        <v>39</v>
      </c>
      <c r="K520" s="120">
        <v>46949</v>
      </c>
      <c r="L520" s="157">
        <v>46084</v>
      </c>
      <c r="M520" s="158">
        <v>36</v>
      </c>
      <c r="N520" s="159">
        <f t="shared" si="52"/>
        <v>28.833333333333332</v>
      </c>
      <c r="O520" s="160">
        <f t="shared" si="53"/>
        <v>0.80092592592592593</v>
      </c>
      <c r="P520" s="161"/>
      <c r="Q520" s="129"/>
      <c r="R520" s="144" t="s">
        <v>670</v>
      </c>
    </row>
    <row r="521" spans="1:18" ht="24.95" customHeight="1">
      <c r="A521" s="8" t="s">
        <v>78</v>
      </c>
      <c r="B521" s="8" t="s">
        <v>85</v>
      </c>
      <c r="C521" s="8" t="s">
        <v>647</v>
      </c>
      <c r="D521" s="115" t="s">
        <v>68</v>
      </c>
      <c r="E521" s="121" t="str">
        <f>VLOOKUP(D521,[1]Sheet1!$D:$E,2,0)</f>
        <v>Phấn nước trang điểm GLAMRR Q (LONG WEAR DD CUSHION #01 LIGHT BEIGE, 13g)</v>
      </c>
      <c r="F521" s="134" t="str">
        <f t="shared" si="54"/>
        <v>GLAMRR Q</v>
      </c>
      <c r="G521" s="156">
        <v>6</v>
      </c>
      <c r="H521" s="156"/>
      <c r="I521" s="147">
        <f t="shared" si="55"/>
        <v>6</v>
      </c>
      <c r="J521" s="8" t="s">
        <v>39</v>
      </c>
      <c r="K521" s="120" t="s">
        <v>649</v>
      </c>
      <c r="L521" s="157">
        <v>46084</v>
      </c>
      <c r="M521" s="158">
        <v>36</v>
      </c>
      <c r="N521" s="159" t="e">
        <f t="shared" si="52"/>
        <v>#VALUE!</v>
      </c>
      <c r="O521" s="160" t="e">
        <f t="shared" si="53"/>
        <v>#VALUE!</v>
      </c>
      <c r="P521" s="161"/>
      <c r="Q521" s="129"/>
      <c r="R521" s="144" t="s">
        <v>670</v>
      </c>
    </row>
    <row r="522" spans="1:18" ht="24.95" customHeight="1">
      <c r="A522" s="8" t="s">
        <v>78</v>
      </c>
      <c r="B522" s="8" t="s">
        <v>85</v>
      </c>
      <c r="C522" s="8" t="s">
        <v>647</v>
      </c>
      <c r="D522" s="115" t="s">
        <v>69</v>
      </c>
      <c r="E522" s="121" t="str">
        <f>VLOOKUP(D522,[1]Sheet1!$D:$E,2,0)</f>
        <v>Phấn nước trang điểm GLAMRR Q (LONG WEAR DD CUSHION #02 NATURAL BEIGE, 13g)</v>
      </c>
      <c r="F522" s="134" t="str">
        <f t="shared" si="54"/>
        <v>GLAMRR Q</v>
      </c>
      <c r="G522" s="156">
        <v>1</v>
      </c>
      <c r="H522" s="156"/>
      <c r="I522" s="147">
        <f t="shared" si="55"/>
        <v>1</v>
      </c>
      <c r="J522" s="8" t="s">
        <v>39</v>
      </c>
      <c r="K522" s="120" t="s">
        <v>650</v>
      </c>
      <c r="L522" s="157">
        <v>46084</v>
      </c>
      <c r="M522" s="158">
        <v>36</v>
      </c>
      <c r="N522" s="159" t="e">
        <f t="shared" si="52"/>
        <v>#VALUE!</v>
      </c>
      <c r="O522" s="160" t="e">
        <f t="shared" si="53"/>
        <v>#VALUE!</v>
      </c>
      <c r="P522" s="161"/>
      <c r="Q522" s="129"/>
      <c r="R522" s="144" t="s">
        <v>670</v>
      </c>
    </row>
    <row r="523" spans="1:18" ht="24.95" customHeight="1">
      <c r="A523" s="8" t="s">
        <v>78</v>
      </c>
      <c r="B523" s="8" t="s">
        <v>85</v>
      </c>
      <c r="C523" s="8" t="s">
        <v>647</v>
      </c>
      <c r="D523" s="115" t="s">
        <v>69</v>
      </c>
      <c r="E523" s="121" t="str">
        <f>VLOOKUP(D523,[1]Sheet1!$D:$E,2,0)</f>
        <v>Phấn nước trang điểm GLAMRR Q (LONG WEAR DD CUSHION #02 NATURAL BEIGE, 13g)</v>
      </c>
      <c r="F523" s="134" t="str">
        <f t="shared" si="54"/>
        <v>GLAMRR Q</v>
      </c>
      <c r="G523" s="156">
        <v>13</v>
      </c>
      <c r="H523" s="156"/>
      <c r="I523" s="147">
        <f t="shared" si="55"/>
        <v>13</v>
      </c>
      <c r="J523" s="8" t="s">
        <v>39</v>
      </c>
      <c r="K523" s="120">
        <v>46447</v>
      </c>
      <c r="L523" s="157">
        <v>46084</v>
      </c>
      <c r="M523" s="158">
        <v>36</v>
      </c>
      <c r="N523" s="159">
        <f t="shared" si="52"/>
        <v>12.1</v>
      </c>
      <c r="O523" s="160">
        <f t="shared" si="53"/>
        <v>0.33611111111111108</v>
      </c>
      <c r="P523" s="161"/>
      <c r="Q523" s="129"/>
      <c r="R523" s="144" t="s">
        <v>670</v>
      </c>
    </row>
    <row r="524" spans="1:18" ht="24.95" customHeight="1">
      <c r="A524" s="8" t="s">
        <v>78</v>
      </c>
      <c r="B524" s="8" t="s">
        <v>85</v>
      </c>
      <c r="C524" s="8" t="s">
        <v>647</v>
      </c>
      <c r="D524" s="115" t="s">
        <v>69</v>
      </c>
      <c r="E524" s="121" t="str">
        <f>VLOOKUP(D524,[1]Sheet1!$D:$E,2,0)</f>
        <v>Phấn nước trang điểm GLAMRR Q (LONG WEAR DD CUSHION #02 NATURAL BEIGE, 13g)</v>
      </c>
      <c r="F524" s="134" t="str">
        <f t="shared" si="54"/>
        <v>GLAMRR Q</v>
      </c>
      <c r="G524" s="156">
        <v>10</v>
      </c>
      <c r="H524" s="156"/>
      <c r="I524" s="147">
        <f t="shared" si="55"/>
        <v>10</v>
      </c>
      <c r="J524" s="8" t="s">
        <v>39</v>
      </c>
      <c r="K524" s="120">
        <v>46438</v>
      </c>
      <c r="L524" s="157">
        <v>46084</v>
      </c>
      <c r="M524" s="158">
        <v>36</v>
      </c>
      <c r="N524" s="159">
        <f t="shared" si="52"/>
        <v>11.8</v>
      </c>
      <c r="O524" s="160">
        <f t="shared" si="53"/>
        <v>0.32777777777777778</v>
      </c>
      <c r="P524" s="161"/>
      <c r="Q524" s="129"/>
      <c r="R524" s="144" t="s">
        <v>670</v>
      </c>
    </row>
    <row r="525" spans="1:18" ht="24.95" customHeight="1">
      <c r="A525" s="8" t="s">
        <v>78</v>
      </c>
      <c r="B525" s="8" t="s">
        <v>85</v>
      </c>
      <c r="C525" s="8" t="s">
        <v>647</v>
      </c>
      <c r="D525" s="115" t="s">
        <v>69</v>
      </c>
      <c r="E525" s="121" t="str">
        <f>VLOOKUP(D525,[1]Sheet1!$D:$E,2,0)</f>
        <v>Phấn nước trang điểm GLAMRR Q (LONG WEAR DD CUSHION #02 NATURAL BEIGE, 13g)</v>
      </c>
      <c r="F525" s="134" t="str">
        <f t="shared" si="54"/>
        <v>GLAMRR Q</v>
      </c>
      <c r="G525" s="156">
        <v>11</v>
      </c>
      <c r="H525" s="156"/>
      <c r="I525" s="147">
        <f t="shared" si="55"/>
        <v>11</v>
      </c>
      <c r="J525" s="8" t="s">
        <v>39</v>
      </c>
      <c r="K525" s="120">
        <v>46467</v>
      </c>
      <c r="L525" s="157">
        <v>46084</v>
      </c>
      <c r="M525" s="158">
        <v>36</v>
      </c>
      <c r="N525" s="159">
        <f t="shared" si="52"/>
        <v>12.766666666666667</v>
      </c>
      <c r="O525" s="160">
        <f t="shared" si="53"/>
        <v>0.35462962962962963</v>
      </c>
      <c r="P525" s="161"/>
      <c r="Q525" s="129"/>
      <c r="R525" s="144" t="s">
        <v>670</v>
      </c>
    </row>
    <row r="526" spans="1:18" ht="24.95" customHeight="1">
      <c r="A526" s="8" t="s">
        <v>78</v>
      </c>
      <c r="B526" s="8" t="s">
        <v>85</v>
      </c>
      <c r="C526" s="8" t="s">
        <v>647</v>
      </c>
      <c r="D526" s="115" t="s">
        <v>69</v>
      </c>
      <c r="E526" s="121" t="str">
        <f>VLOOKUP(D526,[1]Sheet1!$D:$E,2,0)</f>
        <v>Phấn nước trang điểm GLAMRR Q (LONG WEAR DD CUSHION #02 NATURAL BEIGE, 13g)</v>
      </c>
      <c r="F526" s="134" t="str">
        <f t="shared" si="54"/>
        <v>GLAMRR Q</v>
      </c>
      <c r="G526" s="156">
        <v>58</v>
      </c>
      <c r="H526" s="156"/>
      <c r="I526" s="147">
        <f t="shared" si="55"/>
        <v>58</v>
      </c>
      <c r="J526" s="8" t="s">
        <v>39</v>
      </c>
      <c r="K526" s="120">
        <v>46495</v>
      </c>
      <c r="L526" s="157">
        <v>46084</v>
      </c>
      <c r="M526" s="158">
        <v>36</v>
      </c>
      <c r="N526" s="159">
        <f t="shared" si="52"/>
        <v>13.7</v>
      </c>
      <c r="O526" s="160">
        <f t="shared" si="53"/>
        <v>0.38055555555555554</v>
      </c>
      <c r="P526" s="161"/>
      <c r="Q526" s="129"/>
      <c r="R526" s="144" t="s">
        <v>670</v>
      </c>
    </row>
    <row r="527" spans="1:18" ht="24.95" customHeight="1">
      <c r="A527" s="8" t="s">
        <v>78</v>
      </c>
      <c r="B527" s="8" t="s">
        <v>85</v>
      </c>
      <c r="C527" s="8" t="s">
        <v>647</v>
      </c>
      <c r="D527" s="115" t="s">
        <v>69</v>
      </c>
      <c r="E527" s="121" t="str">
        <f>VLOOKUP(D527,[1]Sheet1!$D:$E,2,0)</f>
        <v>Phấn nước trang điểm GLAMRR Q (LONG WEAR DD CUSHION #02 NATURAL BEIGE, 13g)</v>
      </c>
      <c r="F527" s="134" t="str">
        <f t="shared" si="54"/>
        <v>GLAMRR Q</v>
      </c>
      <c r="G527" s="156">
        <v>68</v>
      </c>
      <c r="H527" s="156"/>
      <c r="I527" s="147">
        <f t="shared" si="55"/>
        <v>68</v>
      </c>
      <c r="J527" s="8" t="s">
        <v>39</v>
      </c>
      <c r="K527" s="120">
        <v>46930</v>
      </c>
      <c r="L527" s="157">
        <v>46084</v>
      </c>
      <c r="M527" s="158">
        <v>36</v>
      </c>
      <c r="N527" s="159">
        <f t="shared" si="52"/>
        <v>28.2</v>
      </c>
      <c r="O527" s="160">
        <f t="shared" si="53"/>
        <v>0.78333333333333333</v>
      </c>
      <c r="P527" s="161"/>
      <c r="Q527" s="129"/>
      <c r="R527" s="144" t="s">
        <v>670</v>
      </c>
    </row>
    <row r="528" spans="1:18" ht="24.95" customHeight="1">
      <c r="A528" s="8" t="s">
        <v>78</v>
      </c>
      <c r="B528" s="8" t="s">
        <v>85</v>
      </c>
      <c r="C528" s="8" t="s">
        <v>647</v>
      </c>
      <c r="D528" s="115" t="s">
        <v>69</v>
      </c>
      <c r="E528" s="121" t="str">
        <f>VLOOKUP(D528,[1]Sheet1!$D:$E,2,0)</f>
        <v>Phấn nước trang điểm GLAMRR Q (LONG WEAR DD CUSHION #02 NATURAL BEIGE, 13g)</v>
      </c>
      <c r="F528" s="134" t="str">
        <f t="shared" si="54"/>
        <v>GLAMRR Q</v>
      </c>
      <c r="G528" s="156">
        <v>43</v>
      </c>
      <c r="H528" s="156"/>
      <c r="I528" s="147">
        <f t="shared" si="55"/>
        <v>43</v>
      </c>
      <c r="J528" s="8" t="s">
        <v>39</v>
      </c>
      <c r="K528" s="120">
        <v>46867</v>
      </c>
      <c r="L528" s="157">
        <v>46084</v>
      </c>
      <c r="M528" s="158">
        <v>36</v>
      </c>
      <c r="N528" s="159">
        <f t="shared" si="52"/>
        <v>26.1</v>
      </c>
      <c r="O528" s="160">
        <f t="shared" si="53"/>
        <v>0.72500000000000009</v>
      </c>
      <c r="P528" s="161"/>
      <c r="Q528" s="129"/>
      <c r="R528" s="144" t="s">
        <v>670</v>
      </c>
    </row>
    <row r="529" spans="1:18" ht="24.95" customHeight="1">
      <c r="A529" s="8" t="s">
        <v>78</v>
      </c>
      <c r="B529" s="8" t="s">
        <v>85</v>
      </c>
      <c r="C529" s="8" t="s">
        <v>647</v>
      </c>
      <c r="D529" s="115" t="s">
        <v>70</v>
      </c>
      <c r="E529" s="121" t="str">
        <f>VLOOKUP(D529,[1]Sheet1!$D:$E,2,0)</f>
        <v>Phấn nước trang điểm GLAMRR Q (VEGAN SUPER COVER CUSHION #01 LIGHT BEIGE, 15g)</v>
      </c>
      <c r="F529" s="134" t="str">
        <f t="shared" si="54"/>
        <v>GLAMRR Q</v>
      </c>
      <c r="G529" s="156">
        <v>20</v>
      </c>
      <c r="H529" s="156"/>
      <c r="I529" s="147">
        <f t="shared" si="55"/>
        <v>20</v>
      </c>
      <c r="J529" s="8" t="s">
        <v>39</v>
      </c>
      <c r="K529" s="120" t="s">
        <v>651</v>
      </c>
      <c r="L529" s="157">
        <v>46084</v>
      </c>
      <c r="M529" s="158">
        <v>36</v>
      </c>
      <c r="N529" s="159" t="e">
        <f t="shared" si="52"/>
        <v>#VALUE!</v>
      </c>
      <c r="O529" s="160" t="e">
        <f t="shared" si="53"/>
        <v>#VALUE!</v>
      </c>
      <c r="P529" s="161"/>
      <c r="Q529" s="129"/>
      <c r="R529" s="144" t="s">
        <v>670</v>
      </c>
    </row>
    <row r="530" spans="1:18" ht="24.95" customHeight="1">
      <c r="A530" s="8" t="s">
        <v>78</v>
      </c>
      <c r="B530" s="8" t="s">
        <v>85</v>
      </c>
      <c r="C530" s="8" t="s">
        <v>647</v>
      </c>
      <c r="D530" s="115" t="s">
        <v>70</v>
      </c>
      <c r="E530" s="121" t="str">
        <f>VLOOKUP(D530,[1]Sheet1!$D:$E,2,0)</f>
        <v>Phấn nước trang điểm GLAMRR Q (VEGAN SUPER COVER CUSHION #01 LIGHT BEIGE, 15g)</v>
      </c>
      <c r="F530" s="134" t="str">
        <f t="shared" si="54"/>
        <v>GLAMRR Q</v>
      </c>
      <c r="G530" s="156">
        <v>47</v>
      </c>
      <c r="H530" s="156"/>
      <c r="I530" s="147">
        <f t="shared" si="55"/>
        <v>47</v>
      </c>
      <c r="J530" s="8" t="s">
        <v>39</v>
      </c>
      <c r="K530" s="120">
        <v>46436</v>
      </c>
      <c r="L530" s="157">
        <v>46084</v>
      </c>
      <c r="M530" s="158">
        <v>36</v>
      </c>
      <c r="N530" s="159">
        <f t="shared" si="52"/>
        <v>11.733333333333333</v>
      </c>
      <c r="O530" s="160">
        <f t="shared" si="53"/>
        <v>0.3259259259259259</v>
      </c>
      <c r="P530" s="161"/>
      <c r="Q530" s="129"/>
      <c r="R530" s="144" t="s">
        <v>670</v>
      </c>
    </row>
    <row r="531" spans="1:18" ht="24.95" customHeight="1">
      <c r="A531" s="8" t="s">
        <v>78</v>
      </c>
      <c r="B531" s="8" t="s">
        <v>85</v>
      </c>
      <c r="C531" s="8" t="s">
        <v>647</v>
      </c>
      <c r="D531" s="115" t="s">
        <v>70</v>
      </c>
      <c r="E531" s="121" t="str">
        <f>VLOOKUP(D531,[1]Sheet1!$D:$E,2,0)</f>
        <v>Phấn nước trang điểm GLAMRR Q (VEGAN SUPER COVER CUSHION #01 LIGHT BEIGE, 15g)</v>
      </c>
      <c r="F531" s="134" t="str">
        <f t="shared" si="54"/>
        <v>GLAMRR Q</v>
      </c>
      <c r="G531" s="156">
        <v>38</v>
      </c>
      <c r="H531" s="156"/>
      <c r="I531" s="147">
        <f t="shared" si="55"/>
        <v>38</v>
      </c>
      <c r="J531" s="8" t="s">
        <v>39</v>
      </c>
      <c r="K531" s="120">
        <v>46452</v>
      </c>
      <c r="L531" s="157">
        <v>46084</v>
      </c>
      <c r="M531" s="158">
        <v>36</v>
      </c>
      <c r="N531" s="159">
        <f t="shared" si="52"/>
        <v>12.266666666666667</v>
      </c>
      <c r="O531" s="160">
        <f t="shared" si="53"/>
        <v>0.34074074074074079</v>
      </c>
      <c r="P531" s="161"/>
      <c r="Q531" s="129"/>
      <c r="R531" s="144" t="s">
        <v>670</v>
      </c>
    </row>
    <row r="532" spans="1:18" ht="24.95" customHeight="1">
      <c r="A532" s="8" t="s">
        <v>78</v>
      </c>
      <c r="B532" s="8" t="s">
        <v>85</v>
      </c>
      <c r="C532" s="8" t="s">
        <v>647</v>
      </c>
      <c r="D532" s="115" t="s">
        <v>70</v>
      </c>
      <c r="E532" s="121" t="str">
        <f>VLOOKUP(D532,[1]Sheet1!$D:$E,2,0)</f>
        <v>Phấn nước trang điểm GLAMRR Q (VEGAN SUPER COVER CUSHION #01 LIGHT BEIGE, 15g)</v>
      </c>
      <c r="F532" s="134" t="str">
        <f t="shared" si="54"/>
        <v>GLAMRR Q</v>
      </c>
      <c r="G532" s="156">
        <v>14</v>
      </c>
      <c r="H532" s="156"/>
      <c r="I532" s="147">
        <f t="shared" si="55"/>
        <v>14</v>
      </c>
      <c r="J532" s="8" t="s">
        <v>39</v>
      </c>
      <c r="K532" s="120">
        <v>46472</v>
      </c>
      <c r="L532" s="157">
        <v>46084</v>
      </c>
      <c r="M532" s="158">
        <v>36</v>
      </c>
      <c r="N532" s="159">
        <f t="shared" si="52"/>
        <v>12.933333333333334</v>
      </c>
      <c r="O532" s="160">
        <f t="shared" si="53"/>
        <v>0.35925925925925928</v>
      </c>
      <c r="P532" s="161"/>
      <c r="Q532" s="129"/>
      <c r="R532" s="144" t="s">
        <v>670</v>
      </c>
    </row>
    <row r="533" spans="1:18" ht="24.95" customHeight="1">
      <c r="A533" s="8" t="s">
        <v>78</v>
      </c>
      <c r="B533" s="8" t="s">
        <v>85</v>
      </c>
      <c r="C533" s="8" t="s">
        <v>647</v>
      </c>
      <c r="D533" s="115" t="s">
        <v>70</v>
      </c>
      <c r="E533" s="121" t="str">
        <f>VLOOKUP(D533,[1]Sheet1!$D:$E,2,0)</f>
        <v>Phấn nước trang điểm GLAMRR Q (VEGAN SUPER COVER CUSHION #01 LIGHT BEIGE, 15g)</v>
      </c>
      <c r="F533" s="134" t="str">
        <f t="shared" si="54"/>
        <v>GLAMRR Q</v>
      </c>
      <c r="G533" s="156">
        <v>90</v>
      </c>
      <c r="H533" s="156"/>
      <c r="I533" s="147">
        <f t="shared" si="55"/>
        <v>90</v>
      </c>
      <c r="J533" s="8" t="s">
        <v>39</v>
      </c>
      <c r="K533" s="120">
        <v>46845</v>
      </c>
      <c r="L533" s="157">
        <v>46084</v>
      </c>
      <c r="M533" s="158">
        <v>36</v>
      </c>
      <c r="N533" s="159">
        <f t="shared" si="52"/>
        <v>25.366666666666667</v>
      </c>
      <c r="O533" s="160">
        <f t="shared" si="53"/>
        <v>0.70462962962962961</v>
      </c>
      <c r="P533" s="161"/>
      <c r="Q533" s="129"/>
      <c r="R533" s="144" t="s">
        <v>670</v>
      </c>
    </row>
    <row r="534" spans="1:18" ht="24.95" customHeight="1">
      <c r="A534" s="8" t="s">
        <v>78</v>
      </c>
      <c r="B534" s="8" t="s">
        <v>85</v>
      </c>
      <c r="C534" s="8" t="s">
        <v>647</v>
      </c>
      <c r="D534" s="115" t="s">
        <v>71</v>
      </c>
      <c r="E534" s="121" t="str">
        <f>VLOOKUP(D534,[1]Sheet1!$D:$E,2,0)</f>
        <v>Phấn nước trang điểm GLAMRR Q (VEGAN SUPER COVER CUSHION #02 NATURAL BEIGE, 15g)</v>
      </c>
      <c r="F534" s="134" t="str">
        <f t="shared" si="54"/>
        <v>GLAMRR Q</v>
      </c>
      <c r="G534" s="156">
        <v>25</v>
      </c>
      <c r="H534" s="156"/>
      <c r="I534" s="147">
        <f t="shared" si="55"/>
        <v>25</v>
      </c>
      <c r="J534" s="8" t="s">
        <v>39</v>
      </c>
      <c r="K534" s="120" t="s">
        <v>651</v>
      </c>
      <c r="L534" s="157">
        <v>46084</v>
      </c>
      <c r="M534" s="158">
        <v>36</v>
      </c>
      <c r="N534" s="159" t="e">
        <f t="shared" si="52"/>
        <v>#VALUE!</v>
      </c>
      <c r="O534" s="160" t="e">
        <f t="shared" si="53"/>
        <v>#VALUE!</v>
      </c>
      <c r="P534" s="161"/>
      <c r="Q534" s="129"/>
      <c r="R534" s="144" t="s">
        <v>670</v>
      </c>
    </row>
    <row r="535" spans="1:18" ht="24.95" customHeight="1">
      <c r="A535" s="8" t="s">
        <v>78</v>
      </c>
      <c r="B535" s="8" t="s">
        <v>85</v>
      </c>
      <c r="C535" s="8" t="s">
        <v>647</v>
      </c>
      <c r="D535" s="115" t="s">
        <v>71</v>
      </c>
      <c r="E535" s="121" t="str">
        <f>VLOOKUP(D535,[1]Sheet1!$D:$E,2,0)</f>
        <v>Phấn nước trang điểm GLAMRR Q (VEGAN SUPER COVER CUSHION #02 NATURAL BEIGE, 15g)</v>
      </c>
      <c r="F535" s="134" t="str">
        <f t="shared" si="54"/>
        <v>GLAMRR Q</v>
      </c>
      <c r="G535" s="156">
        <v>2</v>
      </c>
      <c r="H535" s="156"/>
      <c r="I535" s="147">
        <f t="shared" si="55"/>
        <v>2</v>
      </c>
      <c r="J535" s="8" t="s">
        <v>39</v>
      </c>
      <c r="K535" s="120" t="s">
        <v>652</v>
      </c>
      <c r="L535" s="157">
        <v>46084</v>
      </c>
      <c r="M535" s="158">
        <v>36</v>
      </c>
      <c r="N535" s="159" t="e">
        <f t="shared" si="52"/>
        <v>#VALUE!</v>
      </c>
      <c r="O535" s="160" t="e">
        <f t="shared" si="53"/>
        <v>#VALUE!</v>
      </c>
      <c r="P535" s="161"/>
      <c r="Q535" s="129"/>
      <c r="R535" s="144" t="s">
        <v>670</v>
      </c>
    </row>
    <row r="536" spans="1:18" ht="24.95" customHeight="1">
      <c r="A536" s="8" t="s">
        <v>78</v>
      </c>
      <c r="B536" s="8" t="s">
        <v>85</v>
      </c>
      <c r="C536" s="8" t="s">
        <v>647</v>
      </c>
      <c r="D536" s="115" t="s">
        <v>71</v>
      </c>
      <c r="E536" s="121" t="str">
        <f>VLOOKUP(D536,[1]Sheet1!$D:$E,2,0)</f>
        <v>Phấn nước trang điểm GLAMRR Q (VEGAN SUPER COVER CUSHION #02 NATURAL BEIGE, 15g)</v>
      </c>
      <c r="F536" s="134" t="str">
        <f t="shared" si="54"/>
        <v>GLAMRR Q</v>
      </c>
      <c r="G536" s="156">
        <v>2</v>
      </c>
      <c r="H536" s="156"/>
      <c r="I536" s="147">
        <f t="shared" si="55"/>
        <v>2</v>
      </c>
      <c r="J536" s="8" t="s">
        <v>39</v>
      </c>
      <c r="K536" s="120" t="s">
        <v>653</v>
      </c>
      <c r="L536" s="157">
        <v>46084</v>
      </c>
      <c r="M536" s="158">
        <v>36</v>
      </c>
      <c r="N536" s="159" t="e">
        <f t="shared" si="52"/>
        <v>#VALUE!</v>
      </c>
      <c r="O536" s="160" t="e">
        <f t="shared" si="53"/>
        <v>#VALUE!</v>
      </c>
      <c r="P536" s="161"/>
      <c r="Q536" s="129"/>
      <c r="R536" s="144" t="s">
        <v>670</v>
      </c>
    </row>
    <row r="537" spans="1:18" ht="24.95" customHeight="1">
      <c r="A537" s="8" t="s">
        <v>78</v>
      </c>
      <c r="B537" s="8" t="s">
        <v>85</v>
      </c>
      <c r="C537" s="8" t="s">
        <v>647</v>
      </c>
      <c r="D537" s="115" t="s">
        <v>71</v>
      </c>
      <c r="E537" s="121" t="str">
        <f>VLOOKUP(D537,[1]Sheet1!$D:$E,2,0)</f>
        <v>Phấn nước trang điểm GLAMRR Q (VEGAN SUPER COVER CUSHION #02 NATURAL BEIGE, 15g)</v>
      </c>
      <c r="F537" s="134" t="str">
        <f t="shared" si="54"/>
        <v>GLAMRR Q</v>
      </c>
      <c r="G537" s="156">
        <v>13</v>
      </c>
      <c r="H537" s="156"/>
      <c r="I537" s="147">
        <f t="shared" si="55"/>
        <v>13</v>
      </c>
      <c r="J537" s="8" t="s">
        <v>39</v>
      </c>
      <c r="K537" s="120">
        <v>46436</v>
      </c>
      <c r="L537" s="157">
        <v>46084</v>
      </c>
      <c r="M537" s="158">
        <v>36</v>
      </c>
      <c r="N537" s="159">
        <f t="shared" si="52"/>
        <v>11.733333333333333</v>
      </c>
      <c r="O537" s="160">
        <f t="shared" si="53"/>
        <v>0.3259259259259259</v>
      </c>
      <c r="P537" s="161"/>
      <c r="Q537" s="129"/>
      <c r="R537" s="144" t="s">
        <v>670</v>
      </c>
    </row>
    <row r="538" spans="1:18" ht="24.95" customHeight="1">
      <c r="A538" s="8" t="s">
        <v>78</v>
      </c>
      <c r="B538" s="8" t="s">
        <v>85</v>
      </c>
      <c r="C538" s="8" t="s">
        <v>647</v>
      </c>
      <c r="D538" s="115" t="s">
        <v>71</v>
      </c>
      <c r="E538" s="121" t="str">
        <f>VLOOKUP(D538,[1]Sheet1!$D:$E,2,0)</f>
        <v>Phấn nước trang điểm GLAMRR Q (VEGAN SUPER COVER CUSHION #02 NATURAL BEIGE, 15g)</v>
      </c>
      <c r="F538" s="134" t="str">
        <f t="shared" si="54"/>
        <v>GLAMRR Q</v>
      </c>
      <c r="G538" s="156">
        <v>18</v>
      </c>
      <c r="H538" s="156"/>
      <c r="I538" s="147">
        <f t="shared" si="55"/>
        <v>18</v>
      </c>
      <c r="J538" s="8" t="s">
        <v>39</v>
      </c>
      <c r="K538" s="120">
        <v>46472</v>
      </c>
      <c r="L538" s="157">
        <v>46084</v>
      </c>
      <c r="M538" s="158">
        <v>36</v>
      </c>
      <c r="N538" s="159">
        <f t="shared" si="52"/>
        <v>12.933333333333334</v>
      </c>
      <c r="O538" s="160">
        <f t="shared" si="53"/>
        <v>0.35925925925925928</v>
      </c>
      <c r="P538" s="161"/>
      <c r="Q538" s="129"/>
      <c r="R538" s="144" t="s">
        <v>670</v>
      </c>
    </row>
    <row r="539" spans="1:18" ht="24.95" customHeight="1">
      <c r="A539" s="8" t="s">
        <v>78</v>
      </c>
      <c r="B539" s="8" t="s">
        <v>85</v>
      </c>
      <c r="C539" s="8" t="s">
        <v>647</v>
      </c>
      <c r="D539" s="115" t="s">
        <v>71</v>
      </c>
      <c r="E539" s="121" t="str">
        <f>VLOOKUP(D539,[1]Sheet1!$D:$E,2,0)</f>
        <v>Phấn nước trang điểm GLAMRR Q (VEGAN SUPER COVER CUSHION #02 NATURAL BEIGE, 15g)</v>
      </c>
      <c r="F539" s="134" t="str">
        <f t="shared" si="54"/>
        <v>GLAMRR Q</v>
      </c>
      <c r="G539" s="156">
        <v>66</v>
      </c>
      <c r="H539" s="156"/>
      <c r="I539" s="147">
        <f t="shared" si="55"/>
        <v>66</v>
      </c>
      <c r="J539" s="8" t="s">
        <v>39</v>
      </c>
      <c r="K539" s="120">
        <v>46452</v>
      </c>
      <c r="L539" s="157">
        <v>46084</v>
      </c>
      <c r="M539" s="158">
        <v>36</v>
      </c>
      <c r="N539" s="159">
        <f t="shared" si="52"/>
        <v>12.266666666666667</v>
      </c>
      <c r="O539" s="160">
        <f t="shared" si="53"/>
        <v>0.34074074074074079</v>
      </c>
      <c r="P539" s="161"/>
      <c r="Q539" s="129"/>
      <c r="R539" s="144" t="s">
        <v>670</v>
      </c>
    </row>
    <row r="540" spans="1:18" ht="24.95" customHeight="1">
      <c r="A540" s="8" t="s">
        <v>78</v>
      </c>
      <c r="B540" s="8" t="s">
        <v>85</v>
      </c>
      <c r="C540" s="8" t="s">
        <v>647</v>
      </c>
      <c r="D540" s="115" t="s">
        <v>53</v>
      </c>
      <c r="E540" s="121" t="str">
        <f>VLOOKUP(D540,[1]Sheet1!$D:$E,2,0)</f>
        <v>Phấn nước trang điểm GLAMRR Q (VEGAN SUPER GLOW CUSHION #01 LIGHT BEIGE, 15g)</v>
      </c>
      <c r="F540" s="134" t="str">
        <f t="shared" si="54"/>
        <v>GLAMRR Q</v>
      </c>
      <c r="G540" s="156">
        <v>1</v>
      </c>
      <c r="H540" s="156"/>
      <c r="I540" s="147">
        <f t="shared" si="55"/>
        <v>1</v>
      </c>
      <c r="J540" s="8" t="s">
        <v>39</v>
      </c>
      <c r="K540" s="120">
        <v>46547</v>
      </c>
      <c r="L540" s="157">
        <v>46084</v>
      </c>
      <c r="M540" s="158">
        <v>36</v>
      </c>
      <c r="N540" s="159">
        <f t="shared" si="52"/>
        <v>15.433333333333334</v>
      </c>
      <c r="O540" s="160">
        <f t="shared" si="53"/>
        <v>0.4287037037037037</v>
      </c>
      <c r="P540" s="161"/>
      <c r="Q540" s="129"/>
      <c r="R540" s="144" t="s">
        <v>670</v>
      </c>
    </row>
    <row r="541" spans="1:18" ht="24.95" customHeight="1">
      <c r="A541" s="8" t="s">
        <v>78</v>
      </c>
      <c r="B541" s="8" t="s">
        <v>85</v>
      </c>
      <c r="C541" s="8" t="s">
        <v>647</v>
      </c>
      <c r="D541" s="115" t="s">
        <v>53</v>
      </c>
      <c r="E541" s="121" t="str">
        <f>VLOOKUP(D541,[1]Sheet1!$D:$E,2,0)</f>
        <v>Phấn nước trang điểm GLAMRR Q (VEGAN SUPER GLOW CUSHION #01 LIGHT BEIGE, 15g)</v>
      </c>
      <c r="F541" s="134" t="str">
        <f t="shared" si="54"/>
        <v>GLAMRR Q</v>
      </c>
      <c r="G541" s="156">
        <v>5</v>
      </c>
      <c r="H541" s="156"/>
      <c r="I541" s="147">
        <f t="shared" si="55"/>
        <v>5</v>
      </c>
      <c r="J541" s="8" t="s">
        <v>39</v>
      </c>
      <c r="K541" s="120">
        <v>46472</v>
      </c>
      <c r="L541" s="157">
        <v>46084</v>
      </c>
      <c r="M541" s="158">
        <v>36</v>
      </c>
      <c r="N541" s="159">
        <f t="shared" si="52"/>
        <v>12.933333333333334</v>
      </c>
      <c r="O541" s="160">
        <f t="shared" si="53"/>
        <v>0.35925925925925928</v>
      </c>
      <c r="P541" s="161"/>
      <c r="Q541" s="129"/>
      <c r="R541" s="144" t="s">
        <v>670</v>
      </c>
    </row>
    <row r="542" spans="1:18" ht="24.95" customHeight="1">
      <c r="A542" s="8" t="s">
        <v>78</v>
      </c>
      <c r="B542" s="8" t="s">
        <v>85</v>
      </c>
      <c r="C542" s="8" t="s">
        <v>647</v>
      </c>
      <c r="D542" s="115" t="s">
        <v>53</v>
      </c>
      <c r="E542" s="121" t="str">
        <f>VLOOKUP(D542,[1]Sheet1!$D:$E,2,0)</f>
        <v>Phấn nước trang điểm GLAMRR Q (VEGAN SUPER GLOW CUSHION #01 LIGHT BEIGE, 15g)</v>
      </c>
      <c r="F542" s="134" t="str">
        <f t="shared" si="54"/>
        <v>GLAMRR Q</v>
      </c>
      <c r="G542" s="156">
        <v>1</v>
      </c>
      <c r="H542" s="156"/>
      <c r="I542" s="147">
        <f t="shared" si="55"/>
        <v>1</v>
      </c>
      <c r="J542" s="8" t="s">
        <v>39</v>
      </c>
      <c r="K542" s="120" t="s">
        <v>654</v>
      </c>
      <c r="L542" s="157">
        <v>46084</v>
      </c>
      <c r="M542" s="158">
        <v>36</v>
      </c>
      <c r="N542" s="159" t="e">
        <f t="shared" si="52"/>
        <v>#VALUE!</v>
      </c>
      <c r="O542" s="160" t="e">
        <f t="shared" si="53"/>
        <v>#VALUE!</v>
      </c>
      <c r="P542" s="161"/>
      <c r="Q542" s="129"/>
      <c r="R542" s="144" t="s">
        <v>670</v>
      </c>
    </row>
    <row r="543" spans="1:18" ht="24.95" customHeight="1">
      <c r="A543" s="8" t="s">
        <v>78</v>
      </c>
      <c r="B543" s="8" t="s">
        <v>85</v>
      </c>
      <c r="C543" s="8" t="s">
        <v>647</v>
      </c>
      <c r="D543" s="115" t="s">
        <v>55</v>
      </c>
      <c r="E543" s="121" t="str">
        <f>VLOOKUP(D543,[1]Sheet1!$D:$E,2,0)</f>
        <v>Phấn nước trang điểm GLAMRR Q (VEGAN SUPER GLOW CUSHION #02 NATURAL BEIGE, 15g)</v>
      </c>
      <c r="F543" s="134" t="str">
        <f t="shared" si="54"/>
        <v>GLAMRR Q</v>
      </c>
      <c r="G543" s="156">
        <v>5</v>
      </c>
      <c r="H543" s="156"/>
      <c r="I543" s="147">
        <f t="shared" si="55"/>
        <v>5</v>
      </c>
      <c r="J543" s="8" t="s">
        <v>39</v>
      </c>
      <c r="K543" s="120">
        <v>46449</v>
      </c>
      <c r="L543" s="157">
        <v>46084</v>
      </c>
      <c r="M543" s="158">
        <v>36</v>
      </c>
      <c r="N543" s="159">
        <f t="shared" si="52"/>
        <v>12.166666666666666</v>
      </c>
      <c r="O543" s="160">
        <f t="shared" si="53"/>
        <v>0.33796296296296297</v>
      </c>
      <c r="P543" s="161"/>
      <c r="Q543" s="129"/>
      <c r="R543" s="144" t="s">
        <v>670</v>
      </c>
    </row>
    <row r="544" spans="1:18" ht="24.95" customHeight="1">
      <c r="A544" s="8" t="s">
        <v>78</v>
      </c>
      <c r="B544" s="8" t="s">
        <v>85</v>
      </c>
      <c r="C544" s="8" t="s">
        <v>647</v>
      </c>
      <c r="D544" s="115" t="s">
        <v>55</v>
      </c>
      <c r="E544" s="121" t="str">
        <f>VLOOKUP(D544,[1]Sheet1!$D:$E,2,0)</f>
        <v>Phấn nước trang điểm GLAMRR Q (VEGAN SUPER GLOW CUSHION #02 NATURAL BEIGE, 15g)</v>
      </c>
      <c r="F544" s="134" t="str">
        <f t="shared" si="54"/>
        <v>GLAMRR Q</v>
      </c>
      <c r="G544" s="156">
        <v>1</v>
      </c>
      <c r="H544" s="156"/>
      <c r="I544" s="147">
        <f t="shared" si="55"/>
        <v>1</v>
      </c>
      <c r="J544" s="8" t="s">
        <v>39</v>
      </c>
      <c r="K544" s="120">
        <v>46431</v>
      </c>
      <c r="L544" s="157">
        <v>46084</v>
      </c>
      <c r="M544" s="158">
        <v>36</v>
      </c>
      <c r="N544" s="159">
        <f t="shared" si="52"/>
        <v>11.566666666666666</v>
      </c>
      <c r="O544" s="160">
        <f t="shared" si="53"/>
        <v>0.3212962962962963</v>
      </c>
      <c r="P544" s="161"/>
      <c r="Q544" s="129"/>
      <c r="R544" s="144" t="s">
        <v>670</v>
      </c>
    </row>
    <row r="545" spans="1:18" ht="24.95" customHeight="1">
      <c r="A545" s="8" t="s">
        <v>78</v>
      </c>
      <c r="B545" s="8" t="s">
        <v>85</v>
      </c>
      <c r="C545" s="8" t="s">
        <v>647</v>
      </c>
      <c r="D545" s="115" t="s">
        <v>38</v>
      </c>
      <c r="E545" s="121" t="str">
        <f>VLOOKUP(D545,[1]Sheet1!$D:$E,2,0)</f>
        <v>Son môi GLAMRR Q (LONG WEAR LIP CREAM #01 GLAD DAY, 5g)</v>
      </c>
      <c r="F545" s="134" t="str">
        <f t="shared" si="54"/>
        <v>GLAMRR Q</v>
      </c>
      <c r="G545" s="156">
        <v>2</v>
      </c>
      <c r="H545" s="156"/>
      <c r="I545" s="147">
        <f t="shared" si="55"/>
        <v>2</v>
      </c>
      <c r="J545" s="8" t="s">
        <v>39</v>
      </c>
      <c r="K545" s="120">
        <v>46640</v>
      </c>
      <c r="L545" s="157">
        <v>46084</v>
      </c>
      <c r="M545" s="158">
        <v>36</v>
      </c>
      <c r="N545" s="159">
        <f t="shared" si="52"/>
        <v>18.533333333333335</v>
      </c>
      <c r="O545" s="160">
        <f t="shared" si="53"/>
        <v>0.51481481481481484</v>
      </c>
      <c r="P545" s="161"/>
      <c r="Q545" s="129"/>
      <c r="R545" s="144" t="s">
        <v>670</v>
      </c>
    </row>
    <row r="546" spans="1:18" ht="24.95" customHeight="1">
      <c r="A546" s="8" t="s">
        <v>78</v>
      </c>
      <c r="B546" s="8" t="s">
        <v>85</v>
      </c>
      <c r="C546" s="8" t="s">
        <v>647</v>
      </c>
      <c r="D546" s="115" t="s">
        <v>38</v>
      </c>
      <c r="E546" s="121" t="str">
        <f>VLOOKUP(D546,[1]Sheet1!$D:$E,2,0)</f>
        <v>Son môi GLAMRR Q (LONG WEAR LIP CREAM #01 GLAD DAY, 5g)</v>
      </c>
      <c r="F546" s="134" t="str">
        <f t="shared" si="54"/>
        <v>GLAMRR Q</v>
      </c>
      <c r="G546" s="156">
        <v>2</v>
      </c>
      <c r="H546" s="156"/>
      <c r="I546" s="147">
        <f t="shared" si="55"/>
        <v>2</v>
      </c>
      <c r="J546" s="8" t="s">
        <v>39</v>
      </c>
      <c r="K546" s="120">
        <v>46052</v>
      </c>
      <c r="L546" s="157">
        <v>46084</v>
      </c>
      <c r="M546" s="158">
        <v>36</v>
      </c>
      <c r="N546" s="159">
        <f t="shared" si="52"/>
        <v>-1.0666666666666667</v>
      </c>
      <c r="O546" s="160">
        <f t="shared" si="53"/>
        <v>-2.9629629629629631E-2</v>
      </c>
      <c r="P546" s="161"/>
      <c r="Q546" s="129"/>
      <c r="R546" s="144" t="s">
        <v>670</v>
      </c>
    </row>
    <row r="547" spans="1:18" ht="24.95" customHeight="1">
      <c r="A547" s="8" t="s">
        <v>78</v>
      </c>
      <c r="B547" s="8" t="s">
        <v>85</v>
      </c>
      <c r="C547" s="8" t="s">
        <v>647</v>
      </c>
      <c r="D547" s="115" t="s">
        <v>38</v>
      </c>
      <c r="E547" s="121" t="str">
        <f>VLOOKUP(D547,[1]Sheet1!$D:$E,2,0)</f>
        <v>Son môi GLAMRR Q (LONG WEAR LIP CREAM #01 GLAD DAY, 5g)</v>
      </c>
      <c r="F547" s="134" t="str">
        <f t="shared" si="54"/>
        <v>GLAMRR Q</v>
      </c>
      <c r="G547" s="156">
        <v>1</v>
      </c>
      <c r="H547" s="156"/>
      <c r="I547" s="147">
        <f t="shared" si="55"/>
        <v>1</v>
      </c>
      <c r="J547" s="8" t="s">
        <v>39</v>
      </c>
      <c r="K547" s="120">
        <v>46212</v>
      </c>
      <c r="L547" s="157">
        <v>46084</v>
      </c>
      <c r="M547" s="158">
        <v>36</v>
      </c>
      <c r="N547" s="159">
        <f t="shared" si="52"/>
        <v>4.2666666666666666</v>
      </c>
      <c r="O547" s="160">
        <f t="shared" si="53"/>
        <v>0.11851851851851852</v>
      </c>
      <c r="P547" s="161"/>
      <c r="Q547" s="129"/>
      <c r="R547" s="144" t="s">
        <v>670</v>
      </c>
    </row>
    <row r="548" spans="1:18" ht="24.95" customHeight="1">
      <c r="A548" s="8" t="s">
        <v>78</v>
      </c>
      <c r="B548" s="8" t="s">
        <v>85</v>
      </c>
      <c r="C548" s="8" t="s">
        <v>647</v>
      </c>
      <c r="D548" s="115" t="s">
        <v>41</v>
      </c>
      <c r="E548" s="121" t="str">
        <f>VLOOKUP(D548,[1]Sheet1!$D:$E,2,0)</f>
        <v>Son môi GLAMRR Q (LONG WEAR LIP CREAM #03 SUNSHINE DAY, 5g)</v>
      </c>
      <c r="F548" s="134" t="str">
        <f t="shared" si="54"/>
        <v>GLAMRR Q</v>
      </c>
      <c r="G548" s="8">
        <v>1</v>
      </c>
      <c r="H548" s="156"/>
      <c r="I548" s="147">
        <f t="shared" si="55"/>
        <v>1</v>
      </c>
      <c r="J548" s="8" t="s">
        <v>39</v>
      </c>
      <c r="K548" s="120">
        <v>46061</v>
      </c>
      <c r="L548" s="157">
        <v>46084</v>
      </c>
      <c r="M548" s="158">
        <v>36</v>
      </c>
      <c r="N548" s="159">
        <f t="shared" si="52"/>
        <v>-0.76666666666666672</v>
      </c>
      <c r="O548" s="160">
        <f t="shared" si="53"/>
        <v>-2.1296296296296299E-2</v>
      </c>
      <c r="P548" s="161"/>
      <c r="Q548" s="129"/>
      <c r="R548" s="144" t="s">
        <v>670</v>
      </c>
    </row>
    <row r="549" spans="1:18" ht="24.95" customHeight="1">
      <c r="A549" s="8" t="s">
        <v>78</v>
      </c>
      <c r="B549" s="8" t="s">
        <v>85</v>
      </c>
      <c r="C549" s="8" t="s">
        <v>647</v>
      </c>
      <c r="D549" s="115" t="s">
        <v>46</v>
      </c>
      <c r="E549" s="121" t="str">
        <f>VLOOKUP(D549,[1]Sheet1!$D:$E,2,0)</f>
        <v>Son môi GLAMRR Q (LONG WEAR LIP CREAM #08 TAKE A SIP, 5g)</v>
      </c>
      <c r="F549" s="134" t="str">
        <f t="shared" si="54"/>
        <v>GLAMRR Q</v>
      </c>
      <c r="G549" s="156">
        <v>4</v>
      </c>
      <c r="H549" s="156"/>
      <c r="I549" s="147">
        <f t="shared" si="55"/>
        <v>4</v>
      </c>
      <c r="J549" s="8" t="s">
        <v>39</v>
      </c>
      <c r="K549" s="120">
        <v>46472</v>
      </c>
      <c r="L549" s="157">
        <v>46084</v>
      </c>
      <c r="M549" s="158">
        <v>36</v>
      </c>
      <c r="N549" s="159">
        <f t="shared" si="52"/>
        <v>12.933333333333334</v>
      </c>
      <c r="O549" s="160">
        <f t="shared" si="53"/>
        <v>0.35925925925925928</v>
      </c>
      <c r="P549" s="161"/>
      <c r="Q549" s="129"/>
      <c r="R549" s="144" t="s">
        <v>670</v>
      </c>
    </row>
    <row r="550" spans="1:18" ht="24.95" customHeight="1">
      <c r="A550" s="8" t="s">
        <v>78</v>
      </c>
      <c r="B550" s="8" t="s">
        <v>85</v>
      </c>
      <c r="C550" s="8" t="s">
        <v>647</v>
      </c>
      <c r="D550" s="115" t="s">
        <v>46</v>
      </c>
      <c r="E550" s="121" t="str">
        <f>VLOOKUP(D550,[1]Sheet1!$D:$E,2,0)</f>
        <v>Son môi GLAMRR Q (LONG WEAR LIP CREAM #08 TAKE A SIP, 5g)</v>
      </c>
      <c r="F550" s="134" t="str">
        <f t="shared" si="54"/>
        <v>GLAMRR Q</v>
      </c>
      <c r="G550" s="156">
        <v>2</v>
      </c>
      <c r="H550" s="156"/>
      <c r="I550" s="147">
        <f t="shared" si="55"/>
        <v>2</v>
      </c>
      <c r="J550" s="8" t="s">
        <v>39</v>
      </c>
      <c r="K550" s="120">
        <v>46304</v>
      </c>
      <c r="L550" s="157">
        <v>46084</v>
      </c>
      <c r="M550" s="158">
        <v>36</v>
      </c>
      <c r="N550" s="159">
        <f t="shared" si="52"/>
        <v>7.333333333333333</v>
      </c>
      <c r="O550" s="160">
        <f t="shared" si="53"/>
        <v>0.20370370370370369</v>
      </c>
      <c r="P550" s="161"/>
      <c r="Q550" s="129"/>
      <c r="R550" s="144" t="s">
        <v>670</v>
      </c>
    </row>
    <row r="551" spans="1:18" ht="24.95" customHeight="1">
      <c r="A551" s="8" t="s">
        <v>78</v>
      </c>
      <c r="B551" s="8" t="s">
        <v>85</v>
      </c>
      <c r="C551" s="8" t="s">
        <v>647</v>
      </c>
      <c r="D551" s="115" t="s">
        <v>48</v>
      </c>
      <c r="E551" s="121" t="str">
        <f>VLOOKUP(D551,[1]Sheet1!$D:$E,2,0)</f>
        <v>Son môi GLAMRR Q (LONG WEAR LIP CREAM #09 HEI HEI, 5g)</v>
      </c>
      <c r="F551" s="134" t="str">
        <f t="shared" si="54"/>
        <v>GLAMRR Q</v>
      </c>
      <c r="G551" s="156">
        <v>2</v>
      </c>
      <c r="H551" s="156"/>
      <c r="I551" s="147">
        <f t="shared" si="55"/>
        <v>2</v>
      </c>
      <c r="J551" s="8" t="s">
        <v>39</v>
      </c>
      <c r="K551" s="120">
        <v>46200</v>
      </c>
      <c r="L551" s="157">
        <v>46084</v>
      </c>
      <c r="M551" s="158">
        <v>36</v>
      </c>
      <c r="N551" s="159">
        <f t="shared" si="52"/>
        <v>3.8666666666666667</v>
      </c>
      <c r="O551" s="160">
        <f t="shared" si="53"/>
        <v>0.10740740740740741</v>
      </c>
      <c r="P551" s="161"/>
      <c r="Q551" s="129"/>
      <c r="R551" s="144" t="s">
        <v>670</v>
      </c>
    </row>
    <row r="552" spans="1:18" ht="24.95" customHeight="1">
      <c r="A552" s="8" t="s">
        <v>78</v>
      </c>
      <c r="B552" s="8" t="s">
        <v>85</v>
      </c>
      <c r="C552" s="8" t="s">
        <v>647</v>
      </c>
      <c r="D552" s="115" t="s">
        <v>48</v>
      </c>
      <c r="E552" s="121" t="str">
        <f>VLOOKUP(D552,[1]Sheet1!$D:$E,2,0)</f>
        <v>Son môi GLAMRR Q (LONG WEAR LIP CREAM #09 HEI HEI, 5g)</v>
      </c>
      <c r="F552" s="134" t="str">
        <f t="shared" si="54"/>
        <v>GLAMRR Q</v>
      </c>
      <c r="G552" s="156">
        <v>2</v>
      </c>
      <c r="H552" s="156"/>
      <c r="I552" s="147">
        <f t="shared" si="55"/>
        <v>2</v>
      </c>
      <c r="J552" s="8" t="s">
        <v>39</v>
      </c>
      <c r="K552" s="120">
        <v>46472</v>
      </c>
      <c r="L552" s="157">
        <v>46084</v>
      </c>
      <c r="M552" s="158">
        <v>36</v>
      </c>
      <c r="N552" s="159">
        <f t="shared" si="52"/>
        <v>12.933333333333334</v>
      </c>
      <c r="O552" s="160">
        <f t="shared" si="53"/>
        <v>0.35925925925925928</v>
      </c>
      <c r="P552" s="161"/>
      <c r="Q552" s="129"/>
      <c r="R552" s="144" t="s">
        <v>670</v>
      </c>
    </row>
    <row r="553" spans="1:18" ht="24.95" customHeight="1">
      <c r="A553" s="8" t="s">
        <v>78</v>
      </c>
      <c r="B553" s="8" t="s">
        <v>85</v>
      </c>
      <c r="C553" s="8" t="s">
        <v>647</v>
      </c>
      <c r="D553" s="115" t="s">
        <v>50</v>
      </c>
      <c r="E553" s="121" t="str">
        <f>VLOOKUP(D553,[1]Sheet1!$D:$E,2,0)</f>
        <v>Son môi GLAMRR Q (LONG WEAR LIP CREAM #11 SET SAIL, 5g)</v>
      </c>
      <c r="F553" s="134" t="str">
        <f t="shared" si="54"/>
        <v>GLAMRR Q</v>
      </c>
      <c r="G553" s="156">
        <v>2</v>
      </c>
      <c r="H553" s="156"/>
      <c r="I553" s="147">
        <f t="shared" si="55"/>
        <v>2</v>
      </c>
      <c r="J553" s="8" t="s">
        <v>39</v>
      </c>
      <c r="K553" s="120">
        <v>46267</v>
      </c>
      <c r="L553" s="157">
        <v>46084</v>
      </c>
      <c r="M553" s="158">
        <v>36</v>
      </c>
      <c r="N553" s="159">
        <f t="shared" si="52"/>
        <v>6.1</v>
      </c>
      <c r="O553" s="160">
        <f t="shared" si="53"/>
        <v>0.16944444444444443</v>
      </c>
      <c r="P553" s="161"/>
      <c r="Q553" s="129"/>
      <c r="R553" s="144" t="s">
        <v>670</v>
      </c>
    </row>
    <row r="554" spans="1:18" ht="24.95" customHeight="1">
      <c r="A554" s="8" t="s">
        <v>78</v>
      </c>
      <c r="B554" s="8" t="s">
        <v>85</v>
      </c>
      <c r="C554" s="8" t="s">
        <v>647</v>
      </c>
      <c r="D554" s="115" t="s">
        <v>50</v>
      </c>
      <c r="E554" s="121" t="str">
        <f>VLOOKUP(D554,[1]Sheet1!$D:$E,2,0)</f>
        <v>Son môi GLAMRR Q (LONG WEAR LIP CREAM #11 SET SAIL, 5g)</v>
      </c>
      <c r="F554" s="134" t="str">
        <f t="shared" si="54"/>
        <v>GLAMRR Q</v>
      </c>
      <c r="G554" s="156">
        <v>1</v>
      </c>
      <c r="H554" s="156"/>
      <c r="I554" s="147">
        <f t="shared" si="55"/>
        <v>1</v>
      </c>
      <c r="J554" s="8" t="s">
        <v>39</v>
      </c>
      <c r="K554" s="120" t="s">
        <v>655</v>
      </c>
      <c r="L554" s="157">
        <v>46084</v>
      </c>
      <c r="M554" s="158">
        <v>36</v>
      </c>
      <c r="N554" s="159" t="e">
        <f t="shared" si="52"/>
        <v>#VALUE!</v>
      </c>
      <c r="O554" s="160" t="e">
        <f t="shared" si="53"/>
        <v>#VALUE!</v>
      </c>
      <c r="P554" s="161"/>
      <c r="Q554" s="129"/>
      <c r="R554" s="144" t="s">
        <v>670</v>
      </c>
    </row>
    <row r="555" spans="1:18" ht="24.95" customHeight="1">
      <c r="A555" s="8" t="s">
        <v>78</v>
      </c>
      <c r="B555" s="8" t="s">
        <v>85</v>
      </c>
      <c r="C555" s="8" t="s">
        <v>647</v>
      </c>
      <c r="D555" s="115" t="s">
        <v>51</v>
      </c>
      <c r="E555" s="121" t="str">
        <f>VLOOKUP(D555,[1]Sheet1!$D:$E,2,0)</f>
        <v>Son môi GLAMRR Q (LONG WEAR LIP CREAM #12 LAVISH, 5g)</v>
      </c>
      <c r="F555" s="134" t="str">
        <f t="shared" si="54"/>
        <v>GLAMRR Q</v>
      </c>
      <c r="G555" s="156">
        <v>2</v>
      </c>
      <c r="H555" s="156"/>
      <c r="I555" s="147">
        <f t="shared" si="55"/>
        <v>2</v>
      </c>
      <c r="J555" s="8" t="s">
        <v>39</v>
      </c>
      <c r="K555" s="120">
        <v>46062</v>
      </c>
      <c r="L555" s="157">
        <v>46084</v>
      </c>
      <c r="M555" s="158">
        <v>36</v>
      </c>
      <c r="N555" s="159">
        <f t="shared" si="52"/>
        <v>-0.73333333333333328</v>
      </c>
      <c r="O555" s="160">
        <f t="shared" si="53"/>
        <v>-2.0370370370370369E-2</v>
      </c>
      <c r="P555" s="161"/>
      <c r="Q555" s="129"/>
      <c r="R555" s="144" t="s">
        <v>670</v>
      </c>
    </row>
    <row r="556" spans="1:18" ht="24.95" customHeight="1">
      <c r="A556" s="8" t="s">
        <v>78</v>
      </c>
      <c r="B556" s="8" t="s">
        <v>85</v>
      </c>
      <c r="C556" s="8" t="s">
        <v>647</v>
      </c>
      <c r="D556" s="115" t="s">
        <v>52</v>
      </c>
      <c r="E556" s="121" t="str">
        <f>VLOOKUP(D556,[1]Sheet1!$D:$E,2,0)</f>
        <v>Son môi GLAMRR Q (LONG WEAR LIP CREAM #13 CURSE REVERSE, 5g)</v>
      </c>
      <c r="F556" s="134" t="str">
        <f t="shared" si="54"/>
        <v>GLAMRR Q</v>
      </c>
      <c r="G556" s="156">
        <v>2</v>
      </c>
      <c r="H556" s="156"/>
      <c r="I556" s="147">
        <f t="shared" si="55"/>
        <v>2</v>
      </c>
      <c r="J556" s="8" t="s">
        <v>39</v>
      </c>
      <c r="K556" s="120">
        <v>46297</v>
      </c>
      <c r="L556" s="157">
        <v>46084</v>
      </c>
      <c r="M556" s="158">
        <v>36</v>
      </c>
      <c r="N556" s="159">
        <f t="shared" si="52"/>
        <v>7.1</v>
      </c>
      <c r="O556" s="160">
        <f t="shared" si="53"/>
        <v>0.19722222222222222</v>
      </c>
      <c r="P556" s="161"/>
      <c r="Q556" s="129"/>
      <c r="R556" s="144" t="s">
        <v>670</v>
      </c>
    </row>
    <row r="557" spans="1:18" ht="24.95" customHeight="1">
      <c r="A557" s="8" t="s">
        <v>78</v>
      </c>
      <c r="B557" s="8" t="s">
        <v>85</v>
      </c>
      <c r="C557" s="8" t="s">
        <v>647</v>
      </c>
      <c r="D557" s="115" t="s">
        <v>66</v>
      </c>
      <c r="E557" s="121" t="str">
        <f>VLOOKUP(D557,[1]Sheet1!$D:$E,2,0)</f>
        <v>Son môi GLAMRR Q (V​E​G​A​N S​U​P​E​R L​I​P B​A​L​M 0​5 P​L​U​M​'​D, 4.5g)</v>
      </c>
      <c r="F557" s="134" t="str">
        <f t="shared" si="54"/>
        <v>GLAMRR Q</v>
      </c>
      <c r="G557" s="156">
        <v>1</v>
      </c>
      <c r="H557" s="156"/>
      <c r="I557" s="147">
        <f t="shared" si="55"/>
        <v>1</v>
      </c>
      <c r="J557" s="8" t="s">
        <v>39</v>
      </c>
      <c r="K557" s="120">
        <v>46352</v>
      </c>
      <c r="L557" s="157">
        <v>46084</v>
      </c>
      <c r="M557" s="158">
        <v>36</v>
      </c>
      <c r="N557" s="159">
        <f t="shared" si="52"/>
        <v>8.9333333333333336</v>
      </c>
      <c r="O557" s="160">
        <f t="shared" si="53"/>
        <v>0.24814814814814815</v>
      </c>
      <c r="P557" s="161"/>
      <c r="Q557" s="129"/>
      <c r="R557" s="144" t="s">
        <v>670</v>
      </c>
    </row>
  </sheetData>
  <autoFilter ref="A1:R557" xr:uid="{00000000-0001-0000-0000-000000000000}"/>
  <conditionalFormatting sqref="D216:D231">
    <cfRule type="duplicateValues" dxfId="2" priority="8"/>
  </conditionalFormatting>
  <conditionalFormatting sqref="D237:D264">
    <cfRule type="duplicateValues" dxfId="1" priority="9"/>
  </conditionalFormatting>
  <conditionalFormatting sqref="P509:P557">
    <cfRule type="containsText" dxfId="0" priority="1" operator="containsText" text="&lt;">
      <formula>NOT(ISERROR(SEARCH("&lt;",P509)))</formula>
    </cfRule>
  </conditionalFormatting>
  <hyperlinks>
    <hyperlink ref="Q233" r:id="rId1" xr:uid="{EED51DC6-1471-48ED-B836-166636675D77}"/>
    <hyperlink ref="Q232" r:id="rId2" xr:uid="{7522483C-940E-404C-A56D-7A984FC1A7FE}"/>
    <hyperlink ref="Q234" r:id="rId3" xr:uid="{669F2FB0-9BDB-4684-8C1B-4273F106C0B5}"/>
    <hyperlink ref="Q235" r:id="rId4" xr:uid="{2F08F72C-AA44-4B79-8139-A2CE186C4B7A}"/>
    <hyperlink ref="Q236" r:id="rId5" xr:uid="{A19DF9C0-26E1-45ED-BB1D-2E96AF14C0CB}"/>
    <hyperlink ref="Q92" r:id="rId6" xr:uid="{CB1E5D30-69BA-4172-9456-3784434DCC7F}"/>
    <hyperlink ref="Q116" r:id="rId7" xr:uid="{1CACDF1B-4CE7-41B9-B8DF-25D49CDD48F9}"/>
    <hyperlink ref="Q149" r:id="rId8" xr:uid="{B4A86186-2E9C-4A3C-B747-DA6BAB884C13}"/>
    <hyperlink ref="Q153" r:id="rId9" xr:uid="{77371F91-F152-4025-97E7-39CB4F6E9E2B}"/>
    <hyperlink ref="Q155" r:id="rId10" xr:uid="{5F06C068-2023-4E2D-91C4-5C2D52636BAC}"/>
    <hyperlink ref="Q157" r:id="rId11" xr:uid="{B4599246-711A-483F-9E29-3FDEB1BF3B0E}"/>
    <hyperlink ref="Q102" r:id="rId12" xr:uid="{E0258660-5CF3-4702-8806-E12696B93C17}"/>
    <hyperlink ref="Q103" r:id="rId13" xr:uid="{8C2AA2B1-807F-44A1-AA1C-F9230EE3178A}"/>
    <hyperlink ref="Q145" r:id="rId14" xr:uid="{DA22ACB5-D4C0-4D28-9202-208E64FC2095}"/>
    <hyperlink ref="Q117" r:id="rId15" xr:uid="{03FB88C6-08FA-4F6F-BFDD-95BC192C5C56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268E-EEA8-4088-8C0E-56A2FA1A743F}">
  <dimension ref="A3:C21"/>
  <sheetViews>
    <sheetView workbookViewId="0">
      <selection activeCell="G22" sqref="G22"/>
    </sheetView>
  </sheetViews>
  <sheetFormatPr defaultRowHeight="15"/>
  <cols>
    <col min="1" max="1" width="28.5703125" customWidth="1"/>
    <col min="2" max="2" width="18.85546875" customWidth="1"/>
    <col min="3" max="3" width="20" customWidth="1"/>
  </cols>
  <sheetData>
    <row r="3" spans="1:3">
      <c r="A3" s="162" t="s">
        <v>662</v>
      </c>
      <c r="B3" t="s">
        <v>661</v>
      </c>
      <c r="C3" t="s">
        <v>664</v>
      </c>
    </row>
    <row r="4" spans="1:3">
      <c r="A4" s="163" t="s">
        <v>660</v>
      </c>
      <c r="B4" s="164">
        <v>4</v>
      </c>
      <c r="C4" s="165">
        <v>6.8108292184573468E-4</v>
      </c>
    </row>
    <row r="5" spans="1:3">
      <c r="A5" s="163" t="s">
        <v>659</v>
      </c>
      <c r="B5" s="164">
        <v>1395</v>
      </c>
      <c r="C5" s="165">
        <v>0.23752766899369998</v>
      </c>
    </row>
    <row r="6" spans="1:3">
      <c r="A6" s="163" t="s">
        <v>85</v>
      </c>
      <c r="B6" s="164">
        <v>4474</v>
      </c>
      <c r="C6" s="165">
        <v>0.76179124808445431</v>
      </c>
    </row>
    <row r="7" spans="1:3">
      <c r="A7" s="163" t="s">
        <v>657</v>
      </c>
      <c r="B7" s="164">
        <v>5873</v>
      </c>
      <c r="C7" s="165">
        <v>1</v>
      </c>
    </row>
    <row r="11" spans="1:3">
      <c r="A11" s="162" t="s">
        <v>663</v>
      </c>
      <c r="B11" t="s">
        <v>661</v>
      </c>
      <c r="C11" t="s">
        <v>664</v>
      </c>
    </row>
    <row r="12" spans="1:3">
      <c r="A12" s="163" t="s">
        <v>525</v>
      </c>
      <c r="B12">
        <v>1</v>
      </c>
      <c r="C12" s="165">
        <v>1.7027073046143367E-4</v>
      </c>
    </row>
    <row r="13" spans="1:3">
      <c r="A13" s="163" t="s">
        <v>81</v>
      </c>
      <c r="B13">
        <v>1</v>
      </c>
      <c r="C13" s="165">
        <v>1.7027073046143367E-4</v>
      </c>
    </row>
    <row r="14" spans="1:3">
      <c r="A14" s="163" t="s">
        <v>524</v>
      </c>
      <c r="B14">
        <v>1</v>
      </c>
      <c r="C14" s="165">
        <v>1.7027073046143367E-4</v>
      </c>
    </row>
    <row r="15" spans="1:3">
      <c r="A15" s="163" t="s">
        <v>529</v>
      </c>
      <c r="B15">
        <v>2</v>
      </c>
      <c r="C15" s="165">
        <v>3.4054146092286734E-4</v>
      </c>
    </row>
    <row r="16" spans="1:3">
      <c r="A16" s="163" t="s">
        <v>85</v>
      </c>
      <c r="B16">
        <v>5</v>
      </c>
      <c r="C16" s="165">
        <v>8.5135365230716836E-4</v>
      </c>
    </row>
    <row r="17" spans="1:3">
      <c r="A17" s="163" t="s">
        <v>534</v>
      </c>
      <c r="B17">
        <v>13</v>
      </c>
      <c r="C17" s="165">
        <v>2.2135194959986377E-3</v>
      </c>
    </row>
    <row r="18" spans="1:3">
      <c r="A18" s="163" t="s">
        <v>513</v>
      </c>
      <c r="B18">
        <v>237</v>
      </c>
      <c r="C18" s="165">
        <v>4.0354163119359784E-2</v>
      </c>
    </row>
    <row r="19" spans="1:3">
      <c r="A19" s="163" t="s">
        <v>640</v>
      </c>
      <c r="B19">
        <v>1382</v>
      </c>
      <c r="C19" s="165">
        <v>0.23531414949770135</v>
      </c>
    </row>
    <row r="20" spans="1:3">
      <c r="A20" s="163" t="s">
        <v>78</v>
      </c>
      <c r="B20">
        <v>4231</v>
      </c>
      <c r="C20" s="165">
        <v>0.72041546058232586</v>
      </c>
    </row>
    <row r="21" spans="1:3">
      <c r="A21" s="163" t="s">
        <v>657</v>
      </c>
      <c r="B21">
        <v>5873</v>
      </c>
      <c r="C21" s="1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4241-4DDC-490F-AFCB-A76A51F53C99}">
  <dimension ref="A1:AF1041"/>
  <sheetViews>
    <sheetView workbookViewId="0">
      <pane ySplit="1" topLeftCell="A298" activePane="bottomLeft" state="frozen"/>
      <selection pane="bottomLeft" activeCell="C2" sqref="C2:C311"/>
    </sheetView>
  </sheetViews>
  <sheetFormatPr defaultColWidth="14.42578125" defaultRowHeight="15"/>
  <cols>
    <col min="1" max="1" width="5.42578125" style="11" customWidth="1"/>
    <col min="2" max="2" width="18.140625" style="11" customWidth="1"/>
    <col min="3" max="3" width="20.7109375" style="11" customWidth="1"/>
    <col min="4" max="4" width="100.7109375" style="11" customWidth="1"/>
    <col min="5" max="5" width="9.5703125" style="11" customWidth="1"/>
    <col min="6" max="6" width="12.7109375" style="11" customWidth="1"/>
    <col min="7" max="7" width="29.42578125" style="11" customWidth="1"/>
    <col min="8" max="8" width="19.140625" style="11" customWidth="1"/>
    <col min="9" max="9" width="35" style="11" customWidth="1"/>
    <col min="10" max="10" width="33.7109375" style="11" customWidth="1"/>
    <col min="11" max="11" width="47.85546875" style="11" customWidth="1"/>
    <col min="12" max="12" width="14.42578125" style="11" customWidth="1"/>
    <col min="13" max="16384" width="14.42578125" style="11"/>
  </cols>
  <sheetData>
    <row r="1" spans="1:32" ht="81" customHeight="1">
      <c r="A1" s="13" t="s">
        <v>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4" t="s">
        <v>96</v>
      </c>
      <c r="H1" s="15" t="s">
        <v>97</v>
      </c>
      <c r="I1" s="15" t="s">
        <v>98</v>
      </c>
      <c r="J1" s="13" t="s">
        <v>99</v>
      </c>
      <c r="K1" s="13" t="s">
        <v>100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s="21" customFormat="1" ht="34.5" customHeight="1">
      <c r="A2" s="16">
        <v>1</v>
      </c>
      <c r="B2" s="17">
        <v>44580</v>
      </c>
      <c r="C2" s="97">
        <v>8803348041672</v>
      </c>
      <c r="D2" s="18" t="s">
        <v>101</v>
      </c>
      <c r="E2" s="16" t="s">
        <v>102</v>
      </c>
      <c r="F2" s="19">
        <v>158</v>
      </c>
      <c r="G2" s="20">
        <v>390000</v>
      </c>
      <c r="H2" s="16" t="s">
        <v>103</v>
      </c>
      <c r="I2" s="19"/>
      <c r="J2" s="19"/>
      <c r="K2" s="1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s="21" customFormat="1" ht="34.5" customHeight="1">
      <c r="A3" s="16">
        <f>ROW()-ROW($A$1)</f>
        <v>2</v>
      </c>
      <c r="B3" s="17">
        <v>44580</v>
      </c>
      <c r="C3" s="97">
        <v>8803348041665</v>
      </c>
      <c r="D3" s="18" t="s">
        <v>104</v>
      </c>
      <c r="E3" s="16" t="s">
        <v>102</v>
      </c>
      <c r="F3" s="19">
        <v>158</v>
      </c>
      <c r="G3" s="20">
        <v>390000</v>
      </c>
      <c r="H3" s="16" t="s">
        <v>105</v>
      </c>
      <c r="I3" s="19"/>
      <c r="J3" s="19"/>
      <c r="K3" s="1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21" customFormat="1" ht="34.5" customHeight="1">
      <c r="A4" s="16">
        <v>3</v>
      </c>
      <c r="B4" s="17">
        <v>44580</v>
      </c>
      <c r="C4" s="97">
        <v>8803348041689</v>
      </c>
      <c r="D4" s="18" t="s">
        <v>106</v>
      </c>
      <c r="E4" s="16" t="s">
        <v>102</v>
      </c>
      <c r="F4" s="19">
        <v>158</v>
      </c>
      <c r="G4" s="20">
        <v>390000</v>
      </c>
      <c r="H4" s="16" t="s">
        <v>103</v>
      </c>
      <c r="I4" s="19"/>
      <c r="J4" s="19"/>
      <c r="K4" s="1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s="21" customFormat="1" ht="34.5" customHeight="1">
      <c r="A5" s="22">
        <v>4</v>
      </c>
      <c r="B5" s="23">
        <v>44580</v>
      </c>
      <c r="C5" s="98">
        <v>8809738603505</v>
      </c>
      <c r="D5" s="25" t="s">
        <v>107</v>
      </c>
      <c r="E5" s="22" t="s">
        <v>102</v>
      </c>
      <c r="F5" s="26">
        <v>119</v>
      </c>
      <c r="G5" s="20">
        <v>425000</v>
      </c>
      <c r="H5" s="22" t="s">
        <v>103</v>
      </c>
      <c r="I5" s="26" t="s">
        <v>108</v>
      </c>
      <c r="J5" s="26" t="s">
        <v>109</v>
      </c>
      <c r="K5" s="26" t="s">
        <v>110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s="21" customFormat="1" ht="34.5" customHeight="1">
      <c r="A6" s="22">
        <v>5</v>
      </c>
      <c r="B6" s="23">
        <v>44580</v>
      </c>
      <c r="C6" s="98">
        <v>8809738603499</v>
      </c>
      <c r="D6" s="25" t="s">
        <v>111</v>
      </c>
      <c r="E6" s="22" t="s">
        <v>102</v>
      </c>
      <c r="F6" s="26">
        <v>119</v>
      </c>
      <c r="G6" s="20">
        <v>425000</v>
      </c>
      <c r="H6" s="22" t="s">
        <v>103</v>
      </c>
      <c r="I6" s="26" t="s">
        <v>108</v>
      </c>
      <c r="J6" s="26" t="s">
        <v>109</v>
      </c>
      <c r="K6" s="26" t="s">
        <v>110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s="21" customFormat="1" ht="34.5" customHeight="1">
      <c r="A7" s="22">
        <v>6</v>
      </c>
      <c r="B7" s="23">
        <v>44580</v>
      </c>
      <c r="C7" s="98">
        <v>8809738605509</v>
      </c>
      <c r="D7" s="25" t="s">
        <v>112</v>
      </c>
      <c r="E7" s="22" t="s">
        <v>102</v>
      </c>
      <c r="F7" s="26">
        <v>119</v>
      </c>
      <c r="G7" s="20">
        <v>390000</v>
      </c>
      <c r="H7" s="22" t="s">
        <v>103</v>
      </c>
      <c r="I7" s="26"/>
      <c r="J7" s="26"/>
      <c r="K7" s="2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s="21" customFormat="1" ht="34.5" customHeight="1">
      <c r="A8" s="22">
        <v>7</v>
      </c>
      <c r="B8" s="23">
        <v>44580</v>
      </c>
      <c r="C8" s="98">
        <v>8809738603512</v>
      </c>
      <c r="D8" s="25" t="s">
        <v>113</v>
      </c>
      <c r="E8" s="22" t="s">
        <v>102</v>
      </c>
      <c r="F8" s="26">
        <v>119</v>
      </c>
      <c r="G8" s="20">
        <v>425000</v>
      </c>
      <c r="H8" s="22" t="s">
        <v>103</v>
      </c>
      <c r="I8" s="26" t="s">
        <v>108</v>
      </c>
      <c r="J8" s="26" t="s">
        <v>109</v>
      </c>
      <c r="K8" s="26" t="s">
        <v>110</v>
      </c>
      <c r="L8" s="9"/>
      <c r="M8" s="9"/>
      <c r="N8" s="27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s="21" customFormat="1" ht="34.5" customHeight="1">
      <c r="A9" s="22">
        <v>8</v>
      </c>
      <c r="B9" s="23">
        <v>44580</v>
      </c>
      <c r="C9" s="98">
        <v>8809738603482</v>
      </c>
      <c r="D9" s="25" t="s">
        <v>114</v>
      </c>
      <c r="E9" s="22" t="s">
        <v>102</v>
      </c>
      <c r="F9" s="26">
        <v>119</v>
      </c>
      <c r="G9" s="20">
        <v>425000</v>
      </c>
      <c r="H9" s="22" t="s">
        <v>103</v>
      </c>
      <c r="I9" s="26" t="s">
        <v>108</v>
      </c>
      <c r="J9" s="26" t="s">
        <v>109</v>
      </c>
      <c r="K9" s="26" t="s">
        <v>110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s="21" customFormat="1" ht="34.5" customHeight="1">
      <c r="A10" s="22">
        <v>9</v>
      </c>
      <c r="B10" s="23">
        <v>44580</v>
      </c>
      <c r="C10" s="98">
        <v>8809738605516</v>
      </c>
      <c r="D10" s="25" t="s">
        <v>115</v>
      </c>
      <c r="E10" s="22" t="s">
        <v>102</v>
      </c>
      <c r="F10" s="26">
        <v>119</v>
      </c>
      <c r="G10" s="20">
        <v>200000</v>
      </c>
      <c r="H10" s="22" t="s">
        <v>103</v>
      </c>
      <c r="I10" s="26" t="s">
        <v>108</v>
      </c>
      <c r="J10" s="26" t="s">
        <v>116</v>
      </c>
      <c r="K10" s="26" t="s">
        <v>117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s="21" customFormat="1" ht="34.5" customHeight="1">
      <c r="A11" s="16">
        <v>10</v>
      </c>
      <c r="B11" s="17">
        <v>44580</v>
      </c>
      <c r="C11" s="97">
        <v>8809657119224</v>
      </c>
      <c r="D11" s="18" t="s">
        <v>118</v>
      </c>
      <c r="E11" s="16" t="s">
        <v>102</v>
      </c>
      <c r="F11" s="19">
        <v>85</v>
      </c>
      <c r="G11" s="20">
        <v>345000</v>
      </c>
      <c r="H11" s="16" t="s">
        <v>103</v>
      </c>
      <c r="I11" s="19"/>
      <c r="J11" s="19"/>
      <c r="K11" s="1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s="21" customFormat="1" ht="34.5" customHeight="1">
      <c r="A12" s="16">
        <v>11</v>
      </c>
      <c r="B12" s="17">
        <v>44580</v>
      </c>
      <c r="C12" s="97">
        <v>8809657119231</v>
      </c>
      <c r="D12" s="18" t="s">
        <v>119</v>
      </c>
      <c r="E12" s="16" t="s">
        <v>102</v>
      </c>
      <c r="F12" s="19">
        <v>85</v>
      </c>
      <c r="G12" s="20">
        <v>345000</v>
      </c>
      <c r="H12" s="16" t="s">
        <v>103</v>
      </c>
      <c r="I12" s="19"/>
      <c r="J12" s="19"/>
      <c r="K12" s="1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s="21" customFormat="1" ht="34.5" customHeight="1">
      <c r="A13" s="16">
        <v>12</v>
      </c>
      <c r="B13" s="17">
        <v>44580</v>
      </c>
      <c r="C13" s="97">
        <v>8809491944020</v>
      </c>
      <c r="D13" s="18" t="s">
        <v>120</v>
      </c>
      <c r="E13" s="16" t="s">
        <v>102</v>
      </c>
      <c r="F13" s="19">
        <v>30</v>
      </c>
      <c r="G13" s="20">
        <v>199000</v>
      </c>
      <c r="H13" s="16" t="s">
        <v>103</v>
      </c>
      <c r="I13" s="19"/>
      <c r="J13" s="19"/>
      <c r="K13" s="1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s="21" customFormat="1" ht="34.5" customHeight="1">
      <c r="A14" s="16">
        <v>13</v>
      </c>
      <c r="B14" s="17">
        <v>44580</v>
      </c>
      <c r="C14" s="97">
        <v>8809491944037</v>
      </c>
      <c r="D14" s="18" t="s">
        <v>121</v>
      </c>
      <c r="E14" s="16" t="s">
        <v>102</v>
      </c>
      <c r="F14" s="19">
        <v>30</v>
      </c>
      <c r="G14" s="20">
        <v>199000</v>
      </c>
      <c r="H14" s="16" t="s">
        <v>103</v>
      </c>
      <c r="I14" s="19"/>
      <c r="J14" s="19"/>
      <c r="K14" s="1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s="21" customFormat="1" ht="34.5" customHeight="1">
      <c r="A15" s="16">
        <v>14</v>
      </c>
      <c r="B15" s="17">
        <v>44580</v>
      </c>
      <c r="C15" s="97">
        <v>8809491944044</v>
      </c>
      <c r="D15" s="18" t="s">
        <v>122</v>
      </c>
      <c r="E15" s="16" t="s">
        <v>102</v>
      </c>
      <c r="F15" s="19">
        <v>30</v>
      </c>
      <c r="G15" s="20">
        <v>199000</v>
      </c>
      <c r="H15" s="16" t="s">
        <v>103</v>
      </c>
      <c r="I15" s="19"/>
      <c r="J15" s="19"/>
      <c r="K15" s="1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s="21" customFormat="1" ht="34.5" customHeight="1">
      <c r="A16" s="16">
        <v>15</v>
      </c>
      <c r="B16" s="17">
        <v>44580</v>
      </c>
      <c r="C16" s="97">
        <v>8809491944051</v>
      </c>
      <c r="D16" s="18" t="s">
        <v>123</v>
      </c>
      <c r="E16" s="16" t="s">
        <v>102</v>
      </c>
      <c r="F16" s="19">
        <v>30</v>
      </c>
      <c r="G16" s="20">
        <v>199000</v>
      </c>
      <c r="H16" s="16" t="s">
        <v>103</v>
      </c>
      <c r="I16" s="19"/>
      <c r="J16" s="19"/>
      <c r="K16" s="1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s="21" customFormat="1" ht="34.5" customHeight="1">
      <c r="A17" s="16">
        <v>16</v>
      </c>
      <c r="B17" s="17">
        <v>44580</v>
      </c>
      <c r="C17" s="97">
        <v>8809491944068</v>
      </c>
      <c r="D17" s="18" t="s">
        <v>124</v>
      </c>
      <c r="E17" s="16" t="s">
        <v>102</v>
      </c>
      <c r="F17" s="19">
        <v>30</v>
      </c>
      <c r="G17" s="20">
        <v>199000</v>
      </c>
      <c r="H17" s="16" t="s">
        <v>103</v>
      </c>
      <c r="I17" s="19"/>
      <c r="J17" s="19"/>
      <c r="K17" s="1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s="21" customFormat="1" ht="34.5" customHeight="1">
      <c r="A18" s="16">
        <v>17</v>
      </c>
      <c r="B18" s="17">
        <v>44580</v>
      </c>
      <c r="C18" s="97">
        <v>8809491944075</v>
      </c>
      <c r="D18" s="18" t="s">
        <v>125</v>
      </c>
      <c r="E18" s="16" t="s">
        <v>102</v>
      </c>
      <c r="F18" s="19">
        <v>30</v>
      </c>
      <c r="G18" s="20">
        <v>199000</v>
      </c>
      <c r="H18" s="16" t="s">
        <v>103</v>
      </c>
      <c r="I18" s="19"/>
      <c r="J18" s="19"/>
      <c r="K18" s="1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s="21" customFormat="1" ht="34.5" customHeight="1">
      <c r="A19" s="16">
        <v>18</v>
      </c>
      <c r="B19" s="17">
        <v>44580</v>
      </c>
      <c r="C19" s="97">
        <v>8809491944433</v>
      </c>
      <c r="D19" s="18" t="s">
        <v>126</v>
      </c>
      <c r="E19" s="16" t="s">
        <v>102</v>
      </c>
      <c r="F19" s="19">
        <v>30</v>
      </c>
      <c r="G19" s="20">
        <v>199000</v>
      </c>
      <c r="H19" s="16" t="s">
        <v>103</v>
      </c>
      <c r="I19" s="19"/>
      <c r="J19" s="19"/>
      <c r="K19" s="1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s="21" customFormat="1" ht="34.5" customHeight="1">
      <c r="A20" s="16">
        <v>19</v>
      </c>
      <c r="B20" s="17">
        <v>44580</v>
      </c>
      <c r="C20" s="97">
        <v>8809491944082</v>
      </c>
      <c r="D20" s="18" t="s">
        <v>127</v>
      </c>
      <c r="E20" s="16" t="s">
        <v>102</v>
      </c>
      <c r="F20" s="19">
        <v>17</v>
      </c>
      <c r="G20" s="20">
        <v>180000</v>
      </c>
      <c r="H20" s="16" t="s">
        <v>103</v>
      </c>
      <c r="I20" s="19"/>
      <c r="J20" s="19" t="s">
        <v>116</v>
      </c>
      <c r="K20" s="28" t="s">
        <v>128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s="21" customFormat="1" ht="34.5" customHeight="1">
      <c r="A21" s="16">
        <v>20</v>
      </c>
      <c r="B21" s="17">
        <v>44580</v>
      </c>
      <c r="C21" s="97">
        <v>8809491944099</v>
      </c>
      <c r="D21" s="18" t="s">
        <v>129</v>
      </c>
      <c r="E21" s="16" t="s">
        <v>102</v>
      </c>
      <c r="F21" s="19">
        <v>17</v>
      </c>
      <c r="G21" s="20">
        <v>180000</v>
      </c>
      <c r="H21" s="16" t="s">
        <v>103</v>
      </c>
      <c r="I21" s="19"/>
      <c r="J21" s="19" t="s">
        <v>116</v>
      </c>
      <c r="K21" s="28" t="s">
        <v>128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s="21" customFormat="1" ht="34.5" customHeight="1">
      <c r="A22" s="16">
        <v>21</v>
      </c>
      <c r="B22" s="17">
        <v>44580</v>
      </c>
      <c r="C22" s="97">
        <v>8809491944112</v>
      </c>
      <c r="D22" s="18" t="s">
        <v>130</v>
      </c>
      <c r="E22" s="16" t="s">
        <v>102</v>
      </c>
      <c r="F22" s="19">
        <v>17</v>
      </c>
      <c r="G22" s="20">
        <v>180000</v>
      </c>
      <c r="H22" s="16" t="s">
        <v>103</v>
      </c>
      <c r="I22" s="19"/>
      <c r="J22" s="19" t="s">
        <v>116</v>
      </c>
      <c r="K22" s="28" t="s">
        <v>128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s="21" customFormat="1" ht="34.5" customHeight="1">
      <c r="A23" s="16">
        <v>22</v>
      </c>
      <c r="B23" s="17">
        <v>44580</v>
      </c>
      <c r="C23" s="97">
        <v>8809491945447</v>
      </c>
      <c r="D23" s="18" t="s">
        <v>131</v>
      </c>
      <c r="E23" s="16" t="s">
        <v>102</v>
      </c>
      <c r="F23" s="19">
        <v>30</v>
      </c>
      <c r="G23" s="20">
        <v>229000</v>
      </c>
      <c r="H23" s="16" t="s">
        <v>103</v>
      </c>
      <c r="I23" s="19"/>
      <c r="J23" s="19"/>
      <c r="K23" s="1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s="21" customFormat="1" ht="34.5" customHeight="1">
      <c r="A24" s="16">
        <v>23</v>
      </c>
      <c r="B24" s="17">
        <v>44580</v>
      </c>
      <c r="C24" s="97">
        <v>8809491945454</v>
      </c>
      <c r="D24" s="18" t="s">
        <v>132</v>
      </c>
      <c r="E24" s="16" t="s">
        <v>102</v>
      </c>
      <c r="F24" s="19">
        <v>30</v>
      </c>
      <c r="G24" s="20">
        <v>229000</v>
      </c>
      <c r="H24" s="16" t="s">
        <v>103</v>
      </c>
      <c r="I24" s="19"/>
      <c r="J24" s="19"/>
      <c r="K24" s="1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s="21" customFormat="1" ht="34.5" customHeight="1">
      <c r="A25" s="16">
        <v>24</v>
      </c>
      <c r="B25" s="17">
        <v>44580</v>
      </c>
      <c r="C25" s="97">
        <v>8809491945461</v>
      </c>
      <c r="D25" s="18" t="s">
        <v>133</v>
      </c>
      <c r="E25" s="16" t="s">
        <v>102</v>
      </c>
      <c r="F25" s="19">
        <v>30</v>
      </c>
      <c r="G25" s="20">
        <v>229000</v>
      </c>
      <c r="H25" s="16" t="s">
        <v>103</v>
      </c>
      <c r="I25" s="19"/>
      <c r="J25" s="19"/>
      <c r="K25" s="1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s="21" customFormat="1" ht="34.5" customHeight="1">
      <c r="A26" s="16">
        <v>25</v>
      </c>
      <c r="B26" s="17">
        <v>44580</v>
      </c>
      <c r="C26" s="97">
        <v>8809491945478</v>
      </c>
      <c r="D26" s="18" t="s">
        <v>134</v>
      </c>
      <c r="E26" s="16" t="s">
        <v>102</v>
      </c>
      <c r="F26" s="19">
        <v>30</v>
      </c>
      <c r="G26" s="20">
        <v>229000</v>
      </c>
      <c r="H26" s="16" t="s">
        <v>103</v>
      </c>
      <c r="I26" s="19"/>
      <c r="J26" s="19"/>
      <c r="K26" s="1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s="21" customFormat="1" ht="34.5" customHeight="1">
      <c r="A27" s="16">
        <v>26</v>
      </c>
      <c r="B27" s="17">
        <v>44580</v>
      </c>
      <c r="C27" s="97">
        <v>8809491945485</v>
      </c>
      <c r="D27" s="18" t="s">
        <v>135</v>
      </c>
      <c r="E27" s="16" t="s">
        <v>102</v>
      </c>
      <c r="F27" s="19">
        <v>30</v>
      </c>
      <c r="G27" s="20">
        <v>229000</v>
      </c>
      <c r="H27" s="16" t="s">
        <v>103</v>
      </c>
      <c r="I27" s="19"/>
      <c r="J27" s="19"/>
      <c r="K27" s="1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s="21" customFormat="1" ht="34.5" customHeight="1">
      <c r="A28" s="16">
        <v>27</v>
      </c>
      <c r="B28" s="17">
        <v>44580</v>
      </c>
      <c r="C28" s="97">
        <v>8809491945492</v>
      </c>
      <c r="D28" s="18" t="s">
        <v>136</v>
      </c>
      <c r="E28" s="16" t="s">
        <v>102</v>
      </c>
      <c r="F28" s="19">
        <v>30</v>
      </c>
      <c r="G28" s="20">
        <v>229000</v>
      </c>
      <c r="H28" s="16" t="s">
        <v>103</v>
      </c>
      <c r="I28" s="19"/>
      <c r="J28" s="19"/>
      <c r="K28" s="1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s="21" customFormat="1" ht="34.5" customHeight="1">
      <c r="A29" s="16">
        <v>28</v>
      </c>
      <c r="B29" s="17">
        <v>44580</v>
      </c>
      <c r="C29" s="97">
        <v>8809491945447</v>
      </c>
      <c r="D29" s="18" t="s">
        <v>137</v>
      </c>
      <c r="E29" s="16" t="s">
        <v>102</v>
      </c>
      <c r="F29" s="19">
        <v>37</v>
      </c>
      <c r="G29" s="20">
        <v>229000</v>
      </c>
      <c r="H29" s="16" t="s">
        <v>103</v>
      </c>
      <c r="I29" s="19"/>
      <c r="J29" s="19"/>
      <c r="K29" s="1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s="21" customFormat="1" ht="34.5" customHeight="1">
      <c r="A30" s="16">
        <v>29</v>
      </c>
      <c r="B30" s="17">
        <v>44580</v>
      </c>
      <c r="C30" s="97">
        <v>8809491945454</v>
      </c>
      <c r="D30" s="18" t="s">
        <v>138</v>
      </c>
      <c r="E30" s="16" t="s">
        <v>102</v>
      </c>
      <c r="F30" s="19">
        <v>37</v>
      </c>
      <c r="G30" s="20">
        <v>229000</v>
      </c>
      <c r="H30" s="16" t="s">
        <v>103</v>
      </c>
      <c r="I30" s="19"/>
      <c r="J30" s="19"/>
      <c r="K30" s="1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s="21" customFormat="1" ht="34.5" customHeight="1">
      <c r="A31" s="16">
        <v>30</v>
      </c>
      <c r="B31" s="17">
        <v>44580</v>
      </c>
      <c r="C31" s="97">
        <v>8809491945461</v>
      </c>
      <c r="D31" s="18" t="s">
        <v>139</v>
      </c>
      <c r="E31" s="16" t="s">
        <v>102</v>
      </c>
      <c r="F31" s="19">
        <v>37</v>
      </c>
      <c r="G31" s="20">
        <v>229000</v>
      </c>
      <c r="H31" s="16" t="s">
        <v>103</v>
      </c>
      <c r="I31" s="19"/>
      <c r="J31" s="19"/>
      <c r="K31" s="1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s="21" customFormat="1" ht="34.5" customHeight="1">
      <c r="A32" s="16">
        <v>31</v>
      </c>
      <c r="B32" s="17">
        <v>44580</v>
      </c>
      <c r="C32" s="97">
        <v>8809491945478</v>
      </c>
      <c r="D32" s="18" t="s">
        <v>140</v>
      </c>
      <c r="E32" s="16" t="s">
        <v>102</v>
      </c>
      <c r="F32" s="19">
        <v>37</v>
      </c>
      <c r="G32" s="20">
        <v>229000</v>
      </c>
      <c r="H32" s="16" t="s">
        <v>103</v>
      </c>
      <c r="I32" s="19"/>
      <c r="J32" s="19"/>
      <c r="K32" s="1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s="21" customFormat="1" ht="34.5" customHeight="1">
      <c r="A33" s="16">
        <v>32</v>
      </c>
      <c r="B33" s="17">
        <v>44580</v>
      </c>
      <c r="C33" s="97">
        <v>8809491945485</v>
      </c>
      <c r="D33" s="18" t="s">
        <v>141</v>
      </c>
      <c r="E33" s="16" t="s">
        <v>102</v>
      </c>
      <c r="F33" s="19">
        <v>37</v>
      </c>
      <c r="G33" s="20">
        <v>229000</v>
      </c>
      <c r="H33" s="16" t="s">
        <v>103</v>
      </c>
      <c r="I33" s="19"/>
      <c r="J33" s="19"/>
      <c r="K33" s="1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s="21" customFormat="1" ht="34.5" customHeight="1">
      <c r="A34" s="16">
        <v>33</v>
      </c>
      <c r="B34" s="17">
        <v>44580</v>
      </c>
      <c r="C34" s="97">
        <v>8809491945492</v>
      </c>
      <c r="D34" s="18" t="s">
        <v>142</v>
      </c>
      <c r="E34" s="16" t="s">
        <v>102</v>
      </c>
      <c r="F34" s="19">
        <v>37</v>
      </c>
      <c r="G34" s="20">
        <v>229000</v>
      </c>
      <c r="H34" s="16" t="s">
        <v>103</v>
      </c>
      <c r="I34" s="19"/>
      <c r="J34" s="19"/>
      <c r="K34" s="1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s="21" customFormat="1" ht="34.5" customHeight="1">
      <c r="A35" s="16">
        <v>34</v>
      </c>
      <c r="B35" s="17">
        <v>44580</v>
      </c>
      <c r="C35" s="97">
        <v>8809491944860</v>
      </c>
      <c r="D35" s="18" t="s">
        <v>143</v>
      </c>
      <c r="E35" s="16" t="s">
        <v>102</v>
      </c>
      <c r="F35" s="19">
        <v>34</v>
      </c>
      <c r="G35" s="20">
        <v>298000</v>
      </c>
      <c r="H35" s="16" t="s">
        <v>103</v>
      </c>
      <c r="I35" s="19"/>
      <c r="J35" s="19"/>
      <c r="K35" s="1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s="21" customFormat="1" ht="34.5" customHeight="1">
      <c r="A36" s="16">
        <v>35</v>
      </c>
      <c r="B36" s="17">
        <v>44580</v>
      </c>
      <c r="C36" s="97">
        <v>8809491944877</v>
      </c>
      <c r="D36" s="18" t="s">
        <v>144</v>
      </c>
      <c r="E36" s="16" t="s">
        <v>102</v>
      </c>
      <c r="F36" s="19">
        <v>34</v>
      </c>
      <c r="G36" s="20">
        <v>298000</v>
      </c>
      <c r="H36" s="16" t="s">
        <v>103</v>
      </c>
      <c r="I36" s="19"/>
      <c r="J36" s="19"/>
      <c r="K36" s="1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s="21" customFormat="1" ht="34.5" customHeight="1">
      <c r="A37" s="16">
        <v>36</v>
      </c>
      <c r="B37" s="17">
        <v>44580</v>
      </c>
      <c r="C37" s="97">
        <v>8809491944884</v>
      </c>
      <c r="D37" s="18" t="s">
        <v>145</v>
      </c>
      <c r="E37" s="16" t="s">
        <v>102</v>
      </c>
      <c r="F37" s="19">
        <v>34</v>
      </c>
      <c r="G37" s="20">
        <v>298000</v>
      </c>
      <c r="H37" s="16" t="s">
        <v>103</v>
      </c>
      <c r="I37" s="19"/>
      <c r="J37" s="19"/>
      <c r="K37" s="1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s="21" customFormat="1" ht="34.5" customHeight="1">
      <c r="A38" s="16">
        <v>37</v>
      </c>
      <c r="B38" s="17">
        <v>44580</v>
      </c>
      <c r="C38" s="97">
        <v>8809491944891</v>
      </c>
      <c r="D38" s="18" t="s">
        <v>146</v>
      </c>
      <c r="E38" s="16" t="s">
        <v>102</v>
      </c>
      <c r="F38" s="19">
        <v>34</v>
      </c>
      <c r="G38" s="20">
        <v>298000</v>
      </c>
      <c r="H38" s="16" t="s">
        <v>103</v>
      </c>
      <c r="I38" s="19"/>
      <c r="J38" s="19"/>
      <c r="K38" s="1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s="21" customFormat="1" ht="34.5" customHeight="1">
      <c r="A39" s="16">
        <v>38</v>
      </c>
      <c r="B39" s="17">
        <v>44580</v>
      </c>
      <c r="C39" s="97">
        <v>8809491944907</v>
      </c>
      <c r="D39" s="18" t="s">
        <v>147</v>
      </c>
      <c r="E39" s="16" t="s">
        <v>102</v>
      </c>
      <c r="F39" s="19">
        <v>34</v>
      </c>
      <c r="G39" s="20">
        <v>298000</v>
      </c>
      <c r="H39" s="16" t="s">
        <v>103</v>
      </c>
      <c r="I39" s="19"/>
      <c r="J39" s="19"/>
      <c r="K39" s="1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s="21" customFormat="1" ht="34.5" customHeight="1">
      <c r="A40" s="16">
        <v>39</v>
      </c>
      <c r="B40" s="17">
        <v>44580</v>
      </c>
      <c r="C40" s="97">
        <v>8809491944914</v>
      </c>
      <c r="D40" s="18" t="s">
        <v>148</v>
      </c>
      <c r="E40" s="16" t="s">
        <v>102</v>
      </c>
      <c r="F40" s="19">
        <v>34</v>
      </c>
      <c r="G40" s="20">
        <v>298000</v>
      </c>
      <c r="H40" s="16" t="s">
        <v>103</v>
      </c>
      <c r="I40" s="19"/>
      <c r="J40" s="19"/>
      <c r="K40" s="1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s="21" customFormat="1" ht="34.5" customHeight="1">
      <c r="A41" s="16">
        <v>40</v>
      </c>
      <c r="B41" s="17">
        <v>44580</v>
      </c>
      <c r="C41" s="97">
        <v>8809491944921</v>
      </c>
      <c r="D41" s="18" t="s">
        <v>149</v>
      </c>
      <c r="E41" s="16" t="s">
        <v>102</v>
      </c>
      <c r="F41" s="19">
        <v>34</v>
      </c>
      <c r="G41" s="20">
        <v>298000</v>
      </c>
      <c r="H41" s="16" t="s">
        <v>103</v>
      </c>
      <c r="I41" s="19"/>
      <c r="J41" s="19"/>
      <c r="K41" s="1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s="21" customFormat="1" ht="34.5" customHeight="1">
      <c r="A42" s="16">
        <v>41</v>
      </c>
      <c r="B42" s="17">
        <v>44580</v>
      </c>
      <c r="C42" s="97">
        <v>8809595055691</v>
      </c>
      <c r="D42" s="18" t="s">
        <v>150</v>
      </c>
      <c r="E42" s="16" t="s">
        <v>102</v>
      </c>
      <c r="F42" s="19">
        <v>34</v>
      </c>
      <c r="G42" s="20">
        <v>169000</v>
      </c>
      <c r="H42" s="16" t="s">
        <v>103</v>
      </c>
      <c r="I42" s="19"/>
      <c r="J42" s="19"/>
      <c r="K42" s="1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s="21" customFormat="1" ht="34.5" customHeight="1">
      <c r="A43" s="16">
        <v>42</v>
      </c>
      <c r="B43" s="17">
        <v>44580</v>
      </c>
      <c r="C43" s="97">
        <v>8809738595824</v>
      </c>
      <c r="D43" s="18" t="s">
        <v>151</v>
      </c>
      <c r="E43" s="16" t="s">
        <v>102</v>
      </c>
      <c r="F43" s="19">
        <v>228</v>
      </c>
      <c r="G43" s="20">
        <v>286000</v>
      </c>
      <c r="H43" s="16" t="s">
        <v>103</v>
      </c>
      <c r="I43" s="19"/>
      <c r="J43" s="19"/>
      <c r="K43" s="1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s="21" customFormat="1" ht="34.5" customHeight="1">
      <c r="A44" s="16">
        <v>43</v>
      </c>
      <c r="B44" s="17">
        <v>44580</v>
      </c>
      <c r="C44" s="97">
        <v>8809738596074</v>
      </c>
      <c r="D44" s="18" t="s">
        <v>152</v>
      </c>
      <c r="E44" s="16" t="s">
        <v>102</v>
      </c>
      <c r="F44" s="19">
        <v>40</v>
      </c>
      <c r="G44" s="20">
        <v>125000</v>
      </c>
      <c r="H44" s="16" t="s">
        <v>103</v>
      </c>
      <c r="I44" s="19"/>
      <c r="J44" s="19" t="s">
        <v>116</v>
      </c>
      <c r="K44" s="28" t="s">
        <v>128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s="21" customFormat="1" ht="34.5" customHeight="1">
      <c r="A45" s="16">
        <v>44</v>
      </c>
      <c r="B45" s="17">
        <v>44580</v>
      </c>
      <c r="C45" s="97">
        <v>8809738595817</v>
      </c>
      <c r="D45" s="18" t="s">
        <v>153</v>
      </c>
      <c r="E45" s="16" t="s">
        <v>102</v>
      </c>
      <c r="F45" s="19">
        <v>228</v>
      </c>
      <c r="G45" s="20">
        <v>286000</v>
      </c>
      <c r="H45" s="16" t="s">
        <v>103</v>
      </c>
      <c r="I45" s="19"/>
      <c r="J45" s="19"/>
      <c r="K45" s="1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s="21" customFormat="1" ht="34.5" customHeight="1">
      <c r="A46" s="16">
        <v>45</v>
      </c>
      <c r="B46" s="17">
        <v>44580</v>
      </c>
      <c r="C46" s="97">
        <v>8809738596067</v>
      </c>
      <c r="D46" s="18" t="s">
        <v>154</v>
      </c>
      <c r="E46" s="16" t="s">
        <v>102</v>
      </c>
      <c r="F46" s="19">
        <v>40</v>
      </c>
      <c r="G46" s="20">
        <v>125000</v>
      </c>
      <c r="H46" s="16" t="s">
        <v>103</v>
      </c>
      <c r="I46" s="19"/>
      <c r="J46" s="19" t="s">
        <v>116</v>
      </c>
      <c r="K46" s="28" t="s">
        <v>128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s="21" customFormat="1" ht="34.5" customHeight="1">
      <c r="A47" s="16">
        <v>46</v>
      </c>
      <c r="B47" s="17">
        <v>44580</v>
      </c>
      <c r="C47" s="97" t="s">
        <v>155</v>
      </c>
      <c r="D47" s="18" t="s">
        <v>156</v>
      </c>
      <c r="E47" s="16" t="s">
        <v>157</v>
      </c>
      <c r="F47" s="29">
        <v>44683</v>
      </c>
      <c r="G47" s="20">
        <v>8250</v>
      </c>
      <c r="H47" s="16" t="s">
        <v>103</v>
      </c>
      <c r="I47" s="19"/>
      <c r="J47" s="19" t="s">
        <v>158</v>
      </c>
      <c r="K47" s="1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s="32" customFormat="1" ht="34.5" customHeight="1">
      <c r="A48" s="22">
        <v>47</v>
      </c>
      <c r="B48" s="23">
        <v>44580</v>
      </c>
      <c r="C48" s="99">
        <v>8936233680332</v>
      </c>
      <c r="D48" s="25" t="s">
        <v>159</v>
      </c>
      <c r="E48" s="22" t="s">
        <v>160</v>
      </c>
      <c r="F48" s="26">
        <v>26</v>
      </c>
      <c r="G48" s="20">
        <v>82500</v>
      </c>
      <c r="H48" s="22" t="s">
        <v>103</v>
      </c>
      <c r="I48" s="26" t="s">
        <v>161</v>
      </c>
      <c r="J48" s="26" t="s">
        <v>116</v>
      </c>
      <c r="K48" s="26" t="s">
        <v>162</v>
      </c>
      <c r="L48" s="30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s="32" customFormat="1" ht="34.5" customHeight="1">
      <c r="A49" s="22">
        <v>48</v>
      </c>
      <c r="B49" s="23">
        <v>44580</v>
      </c>
      <c r="C49" s="98">
        <v>8809133684932</v>
      </c>
      <c r="D49" s="25" t="s">
        <v>163</v>
      </c>
      <c r="E49" s="22" t="s">
        <v>102</v>
      </c>
      <c r="F49" s="26">
        <v>192</v>
      </c>
      <c r="G49" s="20">
        <v>595000</v>
      </c>
      <c r="H49" s="22" t="s">
        <v>103</v>
      </c>
      <c r="I49" s="26" t="s">
        <v>164</v>
      </c>
      <c r="J49" s="26" t="s">
        <v>109</v>
      </c>
      <c r="K49" s="26" t="s">
        <v>110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s="21" customFormat="1" ht="34.5" customHeight="1">
      <c r="A50" s="16">
        <v>49</v>
      </c>
      <c r="B50" s="17">
        <v>44580</v>
      </c>
      <c r="C50" s="97">
        <v>8809491945423</v>
      </c>
      <c r="D50" s="18" t="s">
        <v>165</v>
      </c>
      <c r="E50" s="16" t="s">
        <v>102</v>
      </c>
      <c r="F50" s="29">
        <v>44713</v>
      </c>
      <c r="G50" s="20">
        <v>13000</v>
      </c>
      <c r="H50" s="16" t="s">
        <v>103</v>
      </c>
      <c r="I50" s="19"/>
      <c r="J50" s="19" t="s">
        <v>158</v>
      </c>
      <c r="K50" s="19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spans="1:32" s="21" customFormat="1" ht="34.5" customHeight="1">
      <c r="A51" s="16">
        <v>50</v>
      </c>
      <c r="B51" s="17">
        <v>44580</v>
      </c>
      <c r="C51" s="97">
        <v>8809639173107</v>
      </c>
      <c r="D51" s="18" t="s">
        <v>166</v>
      </c>
      <c r="E51" s="16" t="s">
        <v>102</v>
      </c>
      <c r="F51" s="19">
        <v>69</v>
      </c>
      <c r="G51" s="20">
        <v>315000</v>
      </c>
      <c r="H51" s="16" t="s">
        <v>103</v>
      </c>
      <c r="I51" s="19"/>
      <c r="J51" s="19"/>
      <c r="K51" s="1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s="21" customFormat="1" ht="34.5" customHeight="1">
      <c r="A52" s="16">
        <v>51</v>
      </c>
      <c r="B52" s="17">
        <v>44580</v>
      </c>
      <c r="C52" s="97">
        <v>8809563704637</v>
      </c>
      <c r="D52" s="18" t="s">
        <v>167</v>
      </c>
      <c r="E52" s="16" t="s">
        <v>102</v>
      </c>
      <c r="F52" s="19">
        <v>180</v>
      </c>
      <c r="G52" s="20">
        <v>385000</v>
      </c>
      <c r="H52" s="16" t="s">
        <v>103</v>
      </c>
      <c r="I52" s="19"/>
      <c r="J52" s="19"/>
      <c r="K52" s="1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s="21" customFormat="1" ht="34.5" customHeight="1">
      <c r="A53" s="16">
        <v>52</v>
      </c>
      <c r="B53" s="17">
        <v>44580</v>
      </c>
      <c r="C53" s="97">
        <v>8809497140259</v>
      </c>
      <c r="D53" s="18" t="s">
        <v>168</v>
      </c>
      <c r="E53" s="16" t="s">
        <v>102</v>
      </c>
      <c r="F53" s="19">
        <v>207</v>
      </c>
      <c r="G53" s="20">
        <v>455000</v>
      </c>
      <c r="H53" s="16" t="s">
        <v>103</v>
      </c>
      <c r="I53" s="19"/>
      <c r="J53" s="19"/>
      <c r="K53" s="1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s="21" customFormat="1" ht="34.5" customHeight="1">
      <c r="A54" s="16">
        <v>53</v>
      </c>
      <c r="B54" s="17">
        <v>44580</v>
      </c>
      <c r="C54" s="97">
        <v>8809497140266</v>
      </c>
      <c r="D54" s="18" t="s">
        <v>169</v>
      </c>
      <c r="E54" s="16" t="s">
        <v>102</v>
      </c>
      <c r="F54" s="19">
        <v>69</v>
      </c>
      <c r="G54" s="20">
        <v>485000</v>
      </c>
      <c r="H54" s="16" t="s">
        <v>103</v>
      </c>
      <c r="I54" s="19"/>
      <c r="J54" s="19"/>
      <c r="K54" s="1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s="21" customFormat="1" ht="34.5" customHeight="1">
      <c r="A55" s="16">
        <v>54</v>
      </c>
      <c r="B55" s="17">
        <v>44580</v>
      </c>
      <c r="C55" s="97">
        <v>8809582500494</v>
      </c>
      <c r="D55" s="18" t="s">
        <v>170</v>
      </c>
      <c r="E55" s="16" t="s">
        <v>102</v>
      </c>
      <c r="F55" s="19">
        <v>130</v>
      </c>
      <c r="G55" s="20">
        <v>290000</v>
      </c>
      <c r="H55" s="16" t="s">
        <v>103</v>
      </c>
      <c r="I55" s="19"/>
      <c r="J55" s="19"/>
      <c r="K55" s="1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s="21" customFormat="1" ht="34.5" customHeight="1">
      <c r="A56" s="16">
        <v>55</v>
      </c>
      <c r="B56" s="17">
        <v>44580</v>
      </c>
      <c r="C56" s="97">
        <v>8809582500487</v>
      </c>
      <c r="D56" s="18" t="s">
        <v>171</v>
      </c>
      <c r="E56" s="16" t="s">
        <v>102</v>
      </c>
      <c r="F56" s="19">
        <v>130</v>
      </c>
      <c r="G56" s="20">
        <v>290000</v>
      </c>
      <c r="H56" s="16" t="s">
        <v>103</v>
      </c>
      <c r="I56" s="19"/>
      <c r="J56" s="19"/>
      <c r="K56" s="1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s="21" customFormat="1" ht="34.5" customHeight="1">
      <c r="A57" s="16">
        <v>56</v>
      </c>
      <c r="B57" s="17">
        <v>44580</v>
      </c>
      <c r="C57" s="97">
        <v>8809582500500</v>
      </c>
      <c r="D57" s="18" t="s">
        <v>172</v>
      </c>
      <c r="E57" s="16" t="s">
        <v>102</v>
      </c>
      <c r="F57" s="19">
        <v>130</v>
      </c>
      <c r="G57" s="20">
        <v>290000</v>
      </c>
      <c r="H57" s="16" t="s">
        <v>103</v>
      </c>
      <c r="I57" s="19"/>
      <c r="J57" s="19"/>
      <c r="K57" s="1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s="21" customFormat="1" ht="34.5" customHeight="1">
      <c r="A58" s="16">
        <v>57</v>
      </c>
      <c r="B58" s="17">
        <v>44580</v>
      </c>
      <c r="C58" s="97">
        <v>8809582500517</v>
      </c>
      <c r="D58" s="18" t="s">
        <v>173</v>
      </c>
      <c r="E58" s="16" t="s">
        <v>102</v>
      </c>
      <c r="F58" s="19">
        <v>130</v>
      </c>
      <c r="G58" s="20">
        <v>290000</v>
      </c>
      <c r="H58" s="16" t="s">
        <v>103</v>
      </c>
      <c r="I58" s="19"/>
      <c r="J58" s="19"/>
      <c r="K58" s="1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s="21" customFormat="1" ht="34.5" customHeight="1">
      <c r="A59" s="16">
        <v>58</v>
      </c>
      <c r="B59" s="17">
        <v>44580</v>
      </c>
      <c r="C59" s="97">
        <v>8809582500524</v>
      </c>
      <c r="D59" s="18" t="s">
        <v>174</v>
      </c>
      <c r="E59" s="16" t="s">
        <v>102</v>
      </c>
      <c r="F59" s="19">
        <v>130</v>
      </c>
      <c r="G59" s="20">
        <v>290000</v>
      </c>
      <c r="H59" s="16" t="s">
        <v>103</v>
      </c>
      <c r="I59" s="19"/>
      <c r="J59" s="19"/>
      <c r="K59" s="1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s="21" customFormat="1" ht="34.5" customHeight="1">
      <c r="A60" s="16">
        <v>59</v>
      </c>
      <c r="B60" s="17">
        <v>44580</v>
      </c>
      <c r="C60" s="97">
        <v>8809582500531</v>
      </c>
      <c r="D60" s="18" t="s">
        <v>175</v>
      </c>
      <c r="E60" s="16" t="s">
        <v>102</v>
      </c>
      <c r="F60" s="19">
        <v>130</v>
      </c>
      <c r="G60" s="20">
        <v>290000</v>
      </c>
      <c r="H60" s="16" t="s">
        <v>103</v>
      </c>
      <c r="I60" s="19"/>
      <c r="J60" s="19"/>
      <c r="K60" s="1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s="21" customFormat="1" ht="34.5" customHeight="1">
      <c r="A61" s="16">
        <v>60</v>
      </c>
      <c r="B61" s="17">
        <v>44580</v>
      </c>
      <c r="C61" s="97">
        <v>8809582500548</v>
      </c>
      <c r="D61" s="18" t="s">
        <v>176</v>
      </c>
      <c r="E61" s="16" t="s">
        <v>102</v>
      </c>
      <c r="F61" s="19">
        <v>130</v>
      </c>
      <c r="G61" s="20">
        <v>290000</v>
      </c>
      <c r="H61" s="16" t="s">
        <v>103</v>
      </c>
      <c r="I61" s="19"/>
      <c r="J61" s="19"/>
      <c r="K61" s="1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s="21" customFormat="1" ht="34.5" customHeight="1">
      <c r="A62" s="16">
        <v>61</v>
      </c>
      <c r="B62" s="17">
        <v>44580</v>
      </c>
      <c r="C62" s="97">
        <v>315909712102</v>
      </c>
      <c r="D62" s="18" t="s">
        <v>177</v>
      </c>
      <c r="E62" s="16" t="s">
        <v>178</v>
      </c>
      <c r="F62" s="19">
        <v>100</v>
      </c>
      <c r="G62" s="20">
        <v>30000</v>
      </c>
      <c r="H62" s="16" t="s">
        <v>103</v>
      </c>
      <c r="I62" s="19"/>
      <c r="J62" s="19" t="s">
        <v>158</v>
      </c>
      <c r="K62" s="19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spans="1:32" s="21" customFormat="1" ht="34.5" customHeight="1">
      <c r="A63" s="16">
        <v>62</v>
      </c>
      <c r="B63" s="17">
        <v>44580</v>
      </c>
      <c r="C63" s="97">
        <v>315909712103</v>
      </c>
      <c r="D63" s="18" t="s">
        <v>179</v>
      </c>
      <c r="E63" s="16" t="s">
        <v>178</v>
      </c>
      <c r="F63" s="19">
        <v>290</v>
      </c>
      <c r="G63" s="20">
        <v>25000</v>
      </c>
      <c r="H63" s="16" t="s">
        <v>103</v>
      </c>
      <c r="I63" s="19"/>
      <c r="J63" s="19" t="s">
        <v>158</v>
      </c>
      <c r="K63" s="19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spans="1:32" s="21" customFormat="1" ht="34.5" customHeight="1">
      <c r="A64" s="16">
        <v>63</v>
      </c>
      <c r="B64" s="17">
        <v>44580</v>
      </c>
      <c r="C64" s="97">
        <v>315909712104</v>
      </c>
      <c r="D64" s="18" t="s">
        <v>180</v>
      </c>
      <c r="E64" s="16" t="s">
        <v>178</v>
      </c>
      <c r="F64" s="19">
        <v>55</v>
      </c>
      <c r="G64" s="20">
        <v>22000</v>
      </c>
      <c r="H64" s="16" t="s">
        <v>103</v>
      </c>
      <c r="I64" s="19"/>
      <c r="J64" s="19" t="s">
        <v>158</v>
      </c>
      <c r="K64" s="19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  <row r="65" spans="1:32" s="21" customFormat="1" ht="34.5" customHeight="1">
      <c r="A65" s="16">
        <v>64</v>
      </c>
      <c r="B65" s="17">
        <v>44580</v>
      </c>
      <c r="C65" s="97">
        <v>315909712105</v>
      </c>
      <c r="D65" s="18" t="s">
        <v>181</v>
      </c>
      <c r="E65" s="16" t="s">
        <v>178</v>
      </c>
      <c r="F65" s="19">
        <v>21</v>
      </c>
      <c r="G65" s="20">
        <v>22000</v>
      </c>
      <c r="H65" s="16" t="s">
        <v>103</v>
      </c>
      <c r="I65" s="19"/>
      <c r="J65" s="19" t="s">
        <v>158</v>
      </c>
      <c r="K65" s="19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</row>
    <row r="66" spans="1:32" s="21" customFormat="1" ht="34.5" customHeight="1">
      <c r="A66" s="16">
        <v>65</v>
      </c>
      <c r="B66" s="17">
        <v>44580</v>
      </c>
      <c r="C66" s="97">
        <v>315909712106</v>
      </c>
      <c r="D66" s="18" t="s">
        <v>182</v>
      </c>
      <c r="E66" s="16" t="s">
        <v>178</v>
      </c>
      <c r="F66" s="19">
        <v>438</v>
      </c>
      <c r="G66" s="20">
        <v>24000</v>
      </c>
      <c r="H66" s="16" t="s">
        <v>103</v>
      </c>
      <c r="I66" s="19"/>
      <c r="J66" s="19" t="s">
        <v>158</v>
      </c>
      <c r="K66" s="19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spans="1:32" s="21" customFormat="1" ht="34.5" customHeight="1">
      <c r="A67" s="16">
        <v>66</v>
      </c>
      <c r="B67" s="17">
        <v>44580</v>
      </c>
      <c r="C67" s="97">
        <v>315909712109</v>
      </c>
      <c r="D67" s="18" t="s">
        <v>183</v>
      </c>
      <c r="E67" s="16" t="s">
        <v>178</v>
      </c>
      <c r="F67" s="19">
        <v>40</v>
      </c>
      <c r="G67" s="20">
        <v>35000</v>
      </c>
      <c r="H67" s="16" t="s">
        <v>103</v>
      </c>
      <c r="I67" s="19"/>
      <c r="J67" s="19"/>
      <c r="K67" s="19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spans="1:32" s="21" customFormat="1" ht="34.5" customHeight="1">
      <c r="A68" s="16">
        <v>67</v>
      </c>
      <c r="B68" s="17">
        <v>44580</v>
      </c>
      <c r="C68" s="97">
        <v>315909712110</v>
      </c>
      <c r="D68" s="18" t="s">
        <v>184</v>
      </c>
      <c r="E68" s="16" t="s">
        <v>178</v>
      </c>
      <c r="F68" s="19">
        <v>100</v>
      </c>
      <c r="G68" s="20">
        <v>35000</v>
      </c>
      <c r="H68" s="16" t="s">
        <v>103</v>
      </c>
      <c r="I68" s="19"/>
      <c r="J68" s="19"/>
      <c r="K68" s="19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</row>
    <row r="69" spans="1:32" s="21" customFormat="1" ht="34.5" customHeight="1">
      <c r="A69" s="16">
        <v>68</v>
      </c>
      <c r="B69" s="17">
        <v>44580</v>
      </c>
      <c r="C69" s="97">
        <v>315909712111</v>
      </c>
      <c r="D69" s="18" t="s">
        <v>185</v>
      </c>
      <c r="E69" s="16" t="s">
        <v>178</v>
      </c>
      <c r="F69" s="19">
        <v>350</v>
      </c>
      <c r="G69" s="20">
        <v>35000</v>
      </c>
      <c r="H69" s="16" t="s">
        <v>103</v>
      </c>
      <c r="I69" s="19"/>
      <c r="J69" s="19" t="s">
        <v>158</v>
      </c>
      <c r="K69" s="19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</row>
    <row r="70" spans="1:32" s="21" customFormat="1" ht="34.5" customHeight="1">
      <c r="A70" s="16">
        <v>69</v>
      </c>
      <c r="B70" s="17">
        <v>44580</v>
      </c>
      <c r="C70" s="97">
        <v>315909712112</v>
      </c>
      <c r="D70" s="18" t="s">
        <v>186</v>
      </c>
      <c r="E70" s="16" t="s">
        <v>178</v>
      </c>
      <c r="F70" s="19">
        <v>50</v>
      </c>
      <c r="G70" s="20">
        <v>22000</v>
      </c>
      <c r="H70" s="16" t="s">
        <v>103</v>
      </c>
      <c r="I70" s="19"/>
      <c r="J70" s="19" t="s">
        <v>158</v>
      </c>
      <c r="K70" s="19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 spans="1:32" s="21" customFormat="1" ht="34.5" customHeight="1">
      <c r="A71" s="16">
        <v>70</v>
      </c>
      <c r="B71" s="17">
        <v>44580</v>
      </c>
      <c r="C71" s="97">
        <v>315909712113</v>
      </c>
      <c r="D71" s="18" t="s">
        <v>187</v>
      </c>
      <c r="E71" s="16" t="s">
        <v>178</v>
      </c>
      <c r="F71" s="19">
        <v>400</v>
      </c>
      <c r="G71" s="20">
        <v>86000</v>
      </c>
      <c r="H71" s="16" t="s">
        <v>103</v>
      </c>
      <c r="I71" s="19"/>
      <c r="J71" s="19" t="s">
        <v>158</v>
      </c>
      <c r="K71" s="19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</row>
    <row r="72" spans="1:32" s="21" customFormat="1" ht="34.5" customHeight="1">
      <c r="A72" s="16">
        <v>71</v>
      </c>
      <c r="B72" s="17">
        <v>44580</v>
      </c>
      <c r="C72" s="97">
        <v>315909712114</v>
      </c>
      <c r="D72" s="18" t="s">
        <v>188</v>
      </c>
      <c r="E72" s="16" t="s">
        <v>178</v>
      </c>
      <c r="F72" s="19">
        <v>421</v>
      </c>
      <c r="G72" s="20">
        <v>83000</v>
      </c>
      <c r="H72" s="16" t="s">
        <v>189</v>
      </c>
      <c r="I72" s="19"/>
      <c r="J72" s="19" t="s">
        <v>158</v>
      </c>
      <c r="K72" s="19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</row>
    <row r="73" spans="1:32" s="21" customFormat="1" ht="34.5" customHeight="1">
      <c r="A73" s="16">
        <v>72</v>
      </c>
      <c r="B73" s="17">
        <v>44580</v>
      </c>
      <c r="C73" s="97">
        <v>315909712115</v>
      </c>
      <c r="D73" s="18" t="s">
        <v>190</v>
      </c>
      <c r="E73" s="16" t="s">
        <v>178</v>
      </c>
      <c r="F73" s="19">
        <v>168</v>
      </c>
      <c r="G73" s="20">
        <v>26000</v>
      </c>
      <c r="H73" s="16" t="s">
        <v>103</v>
      </c>
      <c r="I73" s="19"/>
      <c r="J73" s="19" t="s">
        <v>158</v>
      </c>
      <c r="K73" s="19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</row>
    <row r="74" spans="1:32" s="21" customFormat="1" ht="34.5" customHeight="1">
      <c r="A74" s="16">
        <v>73</v>
      </c>
      <c r="B74" s="17">
        <v>44580</v>
      </c>
      <c r="C74" s="97">
        <v>315909712116</v>
      </c>
      <c r="D74" s="18" t="s">
        <v>191</v>
      </c>
      <c r="E74" s="16" t="s">
        <v>178</v>
      </c>
      <c r="F74" s="19">
        <v>10</v>
      </c>
      <c r="G74" s="20">
        <v>44000</v>
      </c>
      <c r="H74" s="16" t="s">
        <v>103</v>
      </c>
      <c r="I74" s="19"/>
      <c r="J74" s="19" t="s">
        <v>158</v>
      </c>
      <c r="K74" s="19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</row>
    <row r="75" spans="1:32" s="21" customFormat="1" ht="34.5" customHeight="1">
      <c r="A75" s="16">
        <v>74</v>
      </c>
      <c r="B75" s="17">
        <v>44580</v>
      </c>
      <c r="C75" s="97">
        <v>315909712117</v>
      </c>
      <c r="D75" s="18" t="s">
        <v>192</v>
      </c>
      <c r="E75" s="16" t="s">
        <v>178</v>
      </c>
      <c r="F75" s="19">
        <v>10</v>
      </c>
      <c r="G75" s="20">
        <v>17000</v>
      </c>
      <c r="H75" s="16" t="s">
        <v>103</v>
      </c>
      <c r="I75" s="19"/>
      <c r="J75" s="19" t="s">
        <v>158</v>
      </c>
      <c r="K75" s="19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</row>
    <row r="76" spans="1:32" s="21" customFormat="1" ht="34.5" customHeight="1">
      <c r="A76" s="16">
        <v>75</v>
      </c>
      <c r="B76" s="17">
        <v>44580</v>
      </c>
      <c r="C76" s="97">
        <v>315909712118</v>
      </c>
      <c r="D76" s="18" t="s">
        <v>193</v>
      </c>
      <c r="E76" s="16" t="s">
        <v>178</v>
      </c>
      <c r="F76" s="19">
        <v>74</v>
      </c>
      <c r="G76" s="20">
        <v>49000</v>
      </c>
      <c r="H76" s="16" t="s">
        <v>103</v>
      </c>
      <c r="I76" s="19"/>
      <c r="J76" s="19" t="s">
        <v>158</v>
      </c>
      <c r="K76" s="19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spans="1:32" s="21" customFormat="1" ht="34.5" customHeight="1">
      <c r="A77" s="16">
        <v>76</v>
      </c>
      <c r="B77" s="17">
        <v>44580</v>
      </c>
      <c r="C77" s="97">
        <v>315909712119</v>
      </c>
      <c r="D77" s="18" t="s">
        <v>194</v>
      </c>
      <c r="E77" s="16" t="s">
        <v>178</v>
      </c>
      <c r="F77" s="19">
        <v>330</v>
      </c>
      <c r="G77" s="20">
        <v>88000</v>
      </c>
      <c r="H77" s="16" t="s">
        <v>103</v>
      </c>
      <c r="I77" s="19"/>
      <c r="J77" s="19" t="s">
        <v>158</v>
      </c>
      <c r="K77" s="19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</row>
    <row r="78" spans="1:32" s="21" customFormat="1" ht="34.5" customHeight="1">
      <c r="A78" s="16">
        <v>77</v>
      </c>
      <c r="B78" s="17">
        <v>44580</v>
      </c>
      <c r="C78" s="97">
        <v>315909712120</v>
      </c>
      <c r="D78" s="18" t="s">
        <v>195</v>
      </c>
      <c r="E78" s="16" t="s">
        <v>178</v>
      </c>
      <c r="F78" s="19">
        <v>260</v>
      </c>
      <c r="G78" s="20">
        <v>53000</v>
      </c>
      <c r="H78" s="16" t="s">
        <v>189</v>
      </c>
      <c r="I78" s="19"/>
      <c r="J78" s="19" t="s">
        <v>158</v>
      </c>
      <c r="K78" s="19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 spans="1:32" s="21" customFormat="1" ht="34.5" customHeight="1">
      <c r="A79" s="16">
        <v>78</v>
      </c>
      <c r="B79" s="17">
        <v>44580</v>
      </c>
      <c r="C79" s="97">
        <v>315909712121</v>
      </c>
      <c r="D79" s="18" t="s">
        <v>196</v>
      </c>
      <c r="E79" s="16" t="s">
        <v>178</v>
      </c>
      <c r="F79" s="19">
        <v>428</v>
      </c>
      <c r="G79" s="20">
        <v>110000</v>
      </c>
      <c r="H79" s="16" t="s">
        <v>103</v>
      </c>
      <c r="I79" s="19"/>
      <c r="J79" s="19" t="s">
        <v>158</v>
      </c>
      <c r="K79" s="19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spans="1:32" s="21" customFormat="1" ht="34.5" customHeight="1">
      <c r="A80" s="16">
        <v>79</v>
      </c>
      <c r="B80" s="17">
        <v>44599</v>
      </c>
      <c r="C80" s="97">
        <v>315909712122</v>
      </c>
      <c r="D80" s="18" t="s">
        <v>197</v>
      </c>
      <c r="E80" s="16" t="s">
        <v>178</v>
      </c>
      <c r="F80" s="19">
        <v>248</v>
      </c>
      <c r="G80" s="20">
        <v>52000</v>
      </c>
      <c r="H80" s="16" t="s">
        <v>103</v>
      </c>
      <c r="I80" s="19"/>
      <c r="J80" s="19" t="s">
        <v>158</v>
      </c>
      <c r="K80" s="19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spans="1:32" s="21" customFormat="1" ht="34.5" customHeight="1">
      <c r="A81" s="22">
        <v>80</v>
      </c>
      <c r="B81" s="23">
        <v>44608</v>
      </c>
      <c r="C81" s="98">
        <v>8809738598603</v>
      </c>
      <c r="D81" s="25" t="s">
        <v>198</v>
      </c>
      <c r="E81" s="22" t="s">
        <v>102</v>
      </c>
      <c r="F81" s="26">
        <v>119</v>
      </c>
      <c r="G81" s="20">
        <v>200000</v>
      </c>
      <c r="H81" s="22" t="s">
        <v>103</v>
      </c>
      <c r="I81" s="26" t="s">
        <v>199</v>
      </c>
      <c r="J81" s="34"/>
      <c r="K81" s="26" t="s">
        <v>200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s="21" customFormat="1" ht="34.5" customHeight="1">
      <c r="A82" s="22">
        <v>81</v>
      </c>
      <c r="B82" s="23">
        <v>44608</v>
      </c>
      <c r="C82" s="98">
        <v>8809738598610</v>
      </c>
      <c r="D82" s="25" t="s">
        <v>201</v>
      </c>
      <c r="E82" s="22" t="s">
        <v>102</v>
      </c>
      <c r="F82" s="26">
        <v>119</v>
      </c>
      <c r="G82" s="20">
        <v>200000</v>
      </c>
      <c r="H82" s="22" t="s">
        <v>103</v>
      </c>
      <c r="I82" s="26" t="s">
        <v>199</v>
      </c>
      <c r="J82" s="34"/>
      <c r="K82" s="26" t="s">
        <v>200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s="21" customFormat="1" ht="34.5" customHeight="1">
      <c r="A83" s="22">
        <v>82</v>
      </c>
      <c r="B83" s="23">
        <v>44608</v>
      </c>
      <c r="C83" s="98">
        <v>8809738598627</v>
      </c>
      <c r="D83" s="25" t="s">
        <v>202</v>
      </c>
      <c r="E83" s="22" t="s">
        <v>102</v>
      </c>
      <c r="F83" s="26">
        <v>119</v>
      </c>
      <c r="G83" s="20">
        <v>200000</v>
      </c>
      <c r="H83" s="22" t="s">
        <v>103</v>
      </c>
      <c r="I83" s="26" t="s">
        <v>199</v>
      </c>
      <c r="J83" s="34"/>
      <c r="K83" s="26" t="s">
        <v>200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s="21" customFormat="1" ht="34.5" customHeight="1">
      <c r="A84" s="22">
        <v>83</v>
      </c>
      <c r="B84" s="23">
        <v>44608</v>
      </c>
      <c r="C84" s="98">
        <v>8809738598634</v>
      </c>
      <c r="D84" s="25" t="s">
        <v>203</v>
      </c>
      <c r="E84" s="22" t="s">
        <v>102</v>
      </c>
      <c r="F84" s="26">
        <v>119</v>
      </c>
      <c r="G84" s="20">
        <v>200000</v>
      </c>
      <c r="H84" s="22" t="s">
        <v>103</v>
      </c>
      <c r="I84" s="26" t="s">
        <v>199</v>
      </c>
      <c r="J84" s="34"/>
      <c r="K84" s="26" t="s">
        <v>200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s="21" customFormat="1" ht="34.5" customHeight="1">
      <c r="A85" s="22">
        <v>84</v>
      </c>
      <c r="B85" s="23">
        <v>44608</v>
      </c>
      <c r="C85" s="98">
        <v>8809738598641</v>
      </c>
      <c r="D85" s="25" t="s">
        <v>204</v>
      </c>
      <c r="E85" s="22" t="s">
        <v>102</v>
      </c>
      <c r="F85" s="26">
        <v>119</v>
      </c>
      <c r="G85" s="20">
        <v>200000</v>
      </c>
      <c r="H85" s="22" t="s">
        <v>103</v>
      </c>
      <c r="I85" s="26" t="s">
        <v>199</v>
      </c>
      <c r="J85" s="34"/>
      <c r="K85" s="26" t="s">
        <v>200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s="21" customFormat="1" ht="34.5" customHeight="1">
      <c r="A86" s="22">
        <v>85</v>
      </c>
      <c r="B86" s="23">
        <v>44608</v>
      </c>
      <c r="C86" s="98">
        <v>8809738598658</v>
      </c>
      <c r="D86" s="25" t="s">
        <v>205</v>
      </c>
      <c r="E86" s="22" t="s">
        <v>102</v>
      </c>
      <c r="F86" s="26">
        <v>119</v>
      </c>
      <c r="G86" s="20">
        <v>200000</v>
      </c>
      <c r="H86" s="22" t="s">
        <v>103</v>
      </c>
      <c r="I86" s="26" t="s">
        <v>199</v>
      </c>
      <c r="J86" s="34"/>
      <c r="K86" s="26" t="s">
        <v>200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s="21" customFormat="1" ht="34.5" customHeight="1">
      <c r="A87" s="16">
        <v>86</v>
      </c>
      <c r="B87" s="17">
        <v>44608</v>
      </c>
      <c r="C87" s="97">
        <v>8809738598665</v>
      </c>
      <c r="D87" s="18" t="s">
        <v>206</v>
      </c>
      <c r="E87" s="16" t="s">
        <v>102</v>
      </c>
      <c r="F87" s="19">
        <v>7</v>
      </c>
      <c r="G87" s="20">
        <v>22000</v>
      </c>
      <c r="H87" s="16" t="s">
        <v>103</v>
      </c>
      <c r="I87" s="19"/>
      <c r="J87" s="19" t="s">
        <v>158</v>
      </c>
      <c r="K87" s="1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s="21" customFormat="1" ht="34.5" customHeight="1">
      <c r="A88" s="16">
        <v>87</v>
      </c>
      <c r="B88" s="17">
        <v>44608</v>
      </c>
      <c r="C88" s="97">
        <v>8809738598672</v>
      </c>
      <c r="D88" s="18" t="s">
        <v>207</v>
      </c>
      <c r="E88" s="16" t="s">
        <v>102</v>
      </c>
      <c r="F88" s="19">
        <v>7</v>
      </c>
      <c r="G88" s="20">
        <v>22000</v>
      </c>
      <c r="H88" s="16" t="s">
        <v>103</v>
      </c>
      <c r="I88" s="19"/>
      <c r="J88" s="19" t="s">
        <v>158</v>
      </c>
      <c r="K88" s="1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s="21" customFormat="1" ht="34.5" customHeight="1">
      <c r="A89" s="16">
        <v>88</v>
      </c>
      <c r="B89" s="17">
        <v>44608</v>
      </c>
      <c r="C89" s="97">
        <v>8809738598689</v>
      </c>
      <c r="D89" s="18" t="s">
        <v>208</v>
      </c>
      <c r="E89" s="16" t="s">
        <v>102</v>
      </c>
      <c r="F89" s="19">
        <v>7</v>
      </c>
      <c r="G89" s="20">
        <v>22000</v>
      </c>
      <c r="H89" s="16" t="s">
        <v>103</v>
      </c>
      <c r="I89" s="19"/>
      <c r="J89" s="19" t="s">
        <v>158</v>
      </c>
      <c r="K89" s="1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s="21" customFormat="1" ht="34.5" customHeight="1">
      <c r="A90" s="16">
        <v>89</v>
      </c>
      <c r="B90" s="17">
        <v>44608</v>
      </c>
      <c r="C90" s="97">
        <v>8809738598696</v>
      </c>
      <c r="D90" s="18" t="s">
        <v>209</v>
      </c>
      <c r="E90" s="16" t="s">
        <v>102</v>
      </c>
      <c r="F90" s="19">
        <v>7</v>
      </c>
      <c r="G90" s="20">
        <v>22000</v>
      </c>
      <c r="H90" s="16" t="s">
        <v>103</v>
      </c>
      <c r="I90" s="19"/>
      <c r="J90" s="19" t="s">
        <v>158</v>
      </c>
      <c r="K90" s="1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s="21" customFormat="1" ht="34.5" customHeight="1">
      <c r="A91" s="16">
        <v>90</v>
      </c>
      <c r="B91" s="17">
        <v>44608</v>
      </c>
      <c r="C91" s="97">
        <v>8809738598702</v>
      </c>
      <c r="D91" s="18" t="s">
        <v>210</v>
      </c>
      <c r="E91" s="16" t="s">
        <v>102</v>
      </c>
      <c r="F91" s="19">
        <v>7</v>
      </c>
      <c r="G91" s="20">
        <v>22000</v>
      </c>
      <c r="H91" s="16" t="s">
        <v>103</v>
      </c>
      <c r="I91" s="19"/>
      <c r="J91" s="19" t="s">
        <v>158</v>
      </c>
      <c r="K91" s="1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s="21" customFormat="1" ht="34.5" customHeight="1">
      <c r="A92" s="16">
        <v>91</v>
      </c>
      <c r="B92" s="17">
        <v>44608</v>
      </c>
      <c r="C92" s="97">
        <v>8809738598719</v>
      </c>
      <c r="D92" s="18" t="s">
        <v>211</v>
      </c>
      <c r="E92" s="16" t="s">
        <v>102</v>
      </c>
      <c r="F92" s="19">
        <v>7</v>
      </c>
      <c r="G92" s="20">
        <v>22000</v>
      </c>
      <c r="H92" s="16" t="s">
        <v>103</v>
      </c>
      <c r="I92" s="19"/>
      <c r="J92" s="19" t="s">
        <v>158</v>
      </c>
      <c r="K92" s="1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s="21" customFormat="1" ht="34.5" customHeight="1">
      <c r="A93" s="16">
        <v>92</v>
      </c>
      <c r="B93" s="17">
        <v>44608</v>
      </c>
      <c r="C93" s="97">
        <v>8809563068340</v>
      </c>
      <c r="D93" s="18" t="s">
        <v>212</v>
      </c>
      <c r="E93" s="16" t="s">
        <v>102</v>
      </c>
      <c r="F93" s="19">
        <v>134</v>
      </c>
      <c r="G93" s="20">
        <v>330000</v>
      </c>
      <c r="H93" s="16" t="s">
        <v>103</v>
      </c>
      <c r="I93" s="19"/>
      <c r="J93" s="19"/>
      <c r="K93" s="1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s="21" customFormat="1" ht="34.5" customHeight="1">
      <c r="A94" s="22">
        <v>93</v>
      </c>
      <c r="B94" s="23">
        <v>44608</v>
      </c>
      <c r="C94" s="98">
        <v>8809563068333</v>
      </c>
      <c r="D94" s="25" t="s">
        <v>213</v>
      </c>
      <c r="E94" s="22" t="s">
        <v>102</v>
      </c>
      <c r="F94" s="26">
        <v>134</v>
      </c>
      <c r="G94" s="20">
        <v>250000</v>
      </c>
      <c r="H94" s="22" t="s">
        <v>103</v>
      </c>
      <c r="I94" s="26" t="s">
        <v>214</v>
      </c>
      <c r="J94" s="26" t="s">
        <v>116</v>
      </c>
      <c r="K94" s="26" t="s">
        <v>215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s="21" customFormat="1" ht="34.5" customHeight="1">
      <c r="A95" s="22">
        <v>94</v>
      </c>
      <c r="B95" s="23">
        <v>44608</v>
      </c>
      <c r="C95" s="98">
        <v>8809563068357</v>
      </c>
      <c r="D95" s="25" t="s">
        <v>216</v>
      </c>
      <c r="E95" s="22" t="s">
        <v>102</v>
      </c>
      <c r="F95" s="26">
        <v>134</v>
      </c>
      <c r="G95" s="20">
        <v>250000</v>
      </c>
      <c r="H95" s="22" t="s">
        <v>103</v>
      </c>
      <c r="I95" s="26" t="s">
        <v>217</v>
      </c>
      <c r="J95" s="26" t="s">
        <v>116</v>
      </c>
      <c r="K95" s="26" t="s">
        <v>215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s="21" customFormat="1" ht="34.5" customHeight="1">
      <c r="A96" s="16">
        <v>95</v>
      </c>
      <c r="B96" s="17">
        <v>44608</v>
      </c>
      <c r="C96" s="97">
        <v>315909712123</v>
      </c>
      <c r="D96" s="18" t="s">
        <v>218</v>
      </c>
      <c r="E96" s="16" t="s">
        <v>219</v>
      </c>
      <c r="F96" s="19">
        <v>9</v>
      </c>
      <c r="G96" s="20">
        <v>50000</v>
      </c>
      <c r="H96" s="16" t="s">
        <v>103</v>
      </c>
      <c r="I96" s="19"/>
      <c r="J96" s="19" t="s">
        <v>158</v>
      </c>
      <c r="K96" s="1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s="21" customFormat="1" ht="34.5" customHeight="1">
      <c r="A97" s="16">
        <v>96</v>
      </c>
      <c r="B97" s="17">
        <v>44638</v>
      </c>
      <c r="C97" s="97">
        <v>315909712124</v>
      </c>
      <c r="D97" s="18" t="s">
        <v>220</v>
      </c>
      <c r="E97" s="16" t="s">
        <v>178</v>
      </c>
      <c r="F97" s="19">
        <v>159</v>
      </c>
      <c r="G97" s="20">
        <v>27000</v>
      </c>
      <c r="H97" s="16" t="s">
        <v>103</v>
      </c>
      <c r="I97" s="19"/>
      <c r="J97" s="19"/>
      <c r="K97" s="19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spans="1:32" s="21" customFormat="1" ht="34.5" customHeight="1">
      <c r="A98" s="16">
        <v>97</v>
      </c>
      <c r="B98" s="17">
        <v>44655</v>
      </c>
      <c r="C98" s="97">
        <v>8809491945645</v>
      </c>
      <c r="D98" s="18" t="s">
        <v>221</v>
      </c>
      <c r="E98" s="16" t="s">
        <v>102</v>
      </c>
      <c r="F98" s="19">
        <v>17</v>
      </c>
      <c r="G98" s="20">
        <v>200000</v>
      </c>
      <c r="H98" s="16" t="s">
        <v>103</v>
      </c>
      <c r="I98" s="19"/>
      <c r="J98" s="19" t="s">
        <v>116</v>
      </c>
      <c r="K98" s="28" t="s">
        <v>128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s="21" customFormat="1" ht="34.5" customHeight="1">
      <c r="A99" s="16">
        <v>98</v>
      </c>
      <c r="B99" s="17">
        <v>44659</v>
      </c>
      <c r="C99" s="97">
        <v>315909712125</v>
      </c>
      <c r="D99" s="18" t="s">
        <v>222</v>
      </c>
      <c r="E99" s="16" t="s">
        <v>178</v>
      </c>
      <c r="F99" s="19">
        <v>620</v>
      </c>
      <c r="G99" s="20">
        <v>71000</v>
      </c>
      <c r="H99" s="16" t="s">
        <v>103</v>
      </c>
      <c r="I99" s="19"/>
      <c r="J99" s="19"/>
      <c r="K99" s="1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s="21" customFormat="1" ht="34.5" customHeight="1">
      <c r="A100" s="16">
        <v>99</v>
      </c>
      <c r="B100" s="17">
        <v>44748</v>
      </c>
      <c r="C100" s="97">
        <v>8809563708031</v>
      </c>
      <c r="D100" s="18" t="s">
        <v>223</v>
      </c>
      <c r="E100" s="16" t="s">
        <v>102</v>
      </c>
      <c r="F100" s="19">
        <v>197</v>
      </c>
      <c r="G100" s="20">
        <v>306000</v>
      </c>
      <c r="H100" s="16" t="s">
        <v>103</v>
      </c>
      <c r="I100" s="19"/>
      <c r="J100" s="19"/>
      <c r="K100" s="1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s="21" customFormat="1" ht="34.5" customHeight="1">
      <c r="A101" s="16">
        <v>100</v>
      </c>
      <c r="B101" s="17">
        <v>44748</v>
      </c>
      <c r="C101" s="97">
        <v>8809563068692</v>
      </c>
      <c r="D101" s="18" t="s">
        <v>224</v>
      </c>
      <c r="E101" s="16" t="s">
        <v>102</v>
      </c>
      <c r="F101" s="19">
        <v>75</v>
      </c>
      <c r="G101" s="20">
        <v>386000</v>
      </c>
      <c r="H101" s="16" t="s">
        <v>103</v>
      </c>
      <c r="I101" s="19"/>
      <c r="J101" s="19"/>
      <c r="K101" s="1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s="21" customFormat="1" ht="34.5" customHeight="1">
      <c r="A102" s="16">
        <v>101</v>
      </c>
      <c r="B102" s="17">
        <v>44748</v>
      </c>
      <c r="C102" s="97">
        <v>8809783326053</v>
      </c>
      <c r="D102" s="18" t="s">
        <v>225</v>
      </c>
      <c r="E102" s="16" t="s">
        <v>102</v>
      </c>
      <c r="F102" s="19">
        <v>147</v>
      </c>
      <c r="G102" s="20">
        <v>336000</v>
      </c>
      <c r="H102" s="16" t="s">
        <v>103</v>
      </c>
      <c r="I102" s="19"/>
      <c r="J102" s="19"/>
      <c r="K102" s="1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s="21" customFormat="1" ht="34.5" customHeight="1">
      <c r="A103" s="16">
        <v>102</v>
      </c>
      <c r="B103" s="17">
        <v>44748</v>
      </c>
      <c r="C103" s="97">
        <v>8809563068982</v>
      </c>
      <c r="D103" s="18" t="s">
        <v>226</v>
      </c>
      <c r="E103" s="16" t="s">
        <v>102</v>
      </c>
      <c r="F103" s="19">
        <v>10</v>
      </c>
      <c r="G103" s="20">
        <v>205000</v>
      </c>
      <c r="H103" s="16" t="s">
        <v>103</v>
      </c>
      <c r="I103" s="19"/>
      <c r="J103" s="19" t="s">
        <v>158</v>
      </c>
      <c r="K103" s="1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s="21" customFormat="1" ht="34.5" customHeight="1">
      <c r="A104" s="22">
        <v>103</v>
      </c>
      <c r="B104" s="23">
        <v>44748</v>
      </c>
      <c r="C104" s="98">
        <v>8809639176092</v>
      </c>
      <c r="D104" s="25" t="s">
        <v>227</v>
      </c>
      <c r="E104" s="22" t="s">
        <v>102</v>
      </c>
      <c r="F104" s="26">
        <v>266</v>
      </c>
      <c r="G104" s="20">
        <v>250000</v>
      </c>
      <c r="H104" s="22" t="s">
        <v>103</v>
      </c>
      <c r="I104" s="26" t="s">
        <v>228</v>
      </c>
      <c r="J104" s="26" t="s">
        <v>116</v>
      </c>
      <c r="K104" s="26" t="s">
        <v>229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s="21" customFormat="1" ht="34.5" customHeight="1">
      <c r="A105" s="16">
        <v>104</v>
      </c>
      <c r="B105" s="17">
        <v>44748</v>
      </c>
      <c r="C105" s="97">
        <v>8809800462030</v>
      </c>
      <c r="D105" s="18" t="s">
        <v>230</v>
      </c>
      <c r="E105" s="16" t="s">
        <v>102</v>
      </c>
      <c r="F105" s="19">
        <v>135</v>
      </c>
      <c r="G105" s="20">
        <v>299000</v>
      </c>
      <c r="H105" s="16" t="s">
        <v>103</v>
      </c>
      <c r="I105" s="19"/>
      <c r="J105" s="19"/>
      <c r="K105" s="1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s="21" customFormat="1" ht="34.5" customHeight="1">
      <c r="A106" s="22">
        <v>105</v>
      </c>
      <c r="B106" s="23">
        <v>44755</v>
      </c>
      <c r="C106" s="98">
        <v>315909712126</v>
      </c>
      <c r="D106" s="25" t="s">
        <v>231</v>
      </c>
      <c r="E106" s="22" t="s">
        <v>102</v>
      </c>
      <c r="F106" s="26">
        <v>438</v>
      </c>
      <c r="G106" s="20">
        <v>29000</v>
      </c>
      <c r="H106" s="22" t="s">
        <v>189</v>
      </c>
      <c r="I106" s="26" t="s">
        <v>232</v>
      </c>
      <c r="J106" s="26" t="s">
        <v>158</v>
      </c>
      <c r="K106" s="26" t="s">
        <v>233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s="21" customFormat="1" ht="34.5" customHeight="1">
      <c r="A107" s="22">
        <v>106</v>
      </c>
      <c r="B107" s="23">
        <v>44782</v>
      </c>
      <c r="C107" s="98">
        <v>8809497140556</v>
      </c>
      <c r="D107" s="25" t="s">
        <v>234</v>
      </c>
      <c r="E107" s="22" t="s">
        <v>102</v>
      </c>
      <c r="F107" s="26">
        <v>145</v>
      </c>
      <c r="G107" s="20">
        <v>426000</v>
      </c>
      <c r="H107" s="22" t="s">
        <v>103</v>
      </c>
      <c r="I107" s="26"/>
      <c r="J107" s="26"/>
      <c r="K107" s="26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s="21" customFormat="1" ht="34.5" customHeight="1">
      <c r="A108" s="22">
        <v>107</v>
      </c>
      <c r="B108" s="23">
        <v>44782</v>
      </c>
      <c r="C108" s="98">
        <v>8809563707805</v>
      </c>
      <c r="D108" s="25" t="s">
        <v>235</v>
      </c>
      <c r="E108" s="22" t="s">
        <v>102</v>
      </c>
      <c r="F108" s="26">
        <v>161</v>
      </c>
      <c r="G108" s="20">
        <v>336000</v>
      </c>
      <c r="H108" s="22" t="s">
        <v>103</v>
      </c>
      <c r="I108" s="26"/>
      <c r="J108" s="26"/>
      <c r="K108" s="26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s="21" customFormat="1" ht="34.5" customHeight="1">
      <c r="A109" s="22">
        <v>108</v>
      </c>
      <c r="B109" s="23">
        <v>44782</v>
      </c>
      <c r="C109" s="98">
        <v>8809672812032</v>
      </c>
      <c r="D109" s="25" t="s">
        <v>236</v>
      </c>
      <c r="E109" s="22" t="s">
        <v>102</v>
      </c>
      <c r="F109" s="26">
        <v>86</v>
      </c>
      <c r="G109" s="20">
        <v>546000</v>
      </c>
      <c r="H109" s="22" t="s">
        <v>103</v>
      </c>
      <c r="I109" s="26"/>
      <c r="J109" s="26"/>
      <c r="K109" s="26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s="21" customFormat="1" ht="34.5" customHeight="1">
      <c r="A110" s="22">
        <v>109</v>
      </c>
      <c r="B110" s="23">
        <v>44782</v>
      </c>
      <c r="C110" s="98">
        <v>8809639175996</v>
      </c>
      <c r="D110" s="25" t="s">
        <v>237</v>
      </c>
      <c r="E110" s="22" t="s">
        <v>102</v>
      </c>
      <c r="F110" s="26">
        <v>69</v>
      </c>
      <c r="G110" s="20">
        <v>346000</v>
      </c>
      <c r="H110" s="22" t="s">
        <v>103</v>
      </c>
      <c r="I110" s="26"/>
      <c r="J110" s="26"/>
      <c r="K110" s="26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s="21" customFormat="1" ht="34.5" customHeight="1">
      <c r="A111" s="22">
        <v>110</v>
      </c>
      <c r="B111" s="23">
        <v>44782</v>
      </c>
      <c r="C111" s="98">
        <v>8809497140563</v>
      </c>
      <c r="D111" s="25" t="s">
        <v>238</v>
      </c>
      <c r="E111" s="22" t="s">
        <v>102</v>
      </c>
      <c r="F111" s="26">
        <v>23</v>
      </c>
      <c r="G111" s="20">
        <v>180000</v>
      </c>
      <c r="H111" s="22" t="s">
        <v>189</v>
      </c>
      <c r="I111" s="26" t="s">
        <v>232</v>
      </c>
      <c r="J111" s="26" t="s">
        <v>158</v>
      </c>
      <c r="K111" s="26" t="s">
        <v>233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s="21" customFormat="1" ht="34.5" customHeight="1">
      <c r="A112" s="22">
        <v>111</v>
      </c>
      <c r="B112" s="23">
        <v>44782</v>
      </c>
      <c r="C112" s="98">
        <v>8809563708123</v>
      </c>
      <c r="D112" s="25" t="s">
        <v>239</v>
      </c>
      <c r="E112" s="22" t="s">
        <v>102</v>
      </c>
      <c r="F112" s="26">
        <v>29</v>
      </c>
      <c r="G112" s="20">
        <v>110000</v>
      </c>
      <c r="H112" s="22" t="s">
        <v>189</v>
      </c>
      <c r="I112" s="26" t="s">
        <v>232</v>
      </c>
      <c r="J112" s="26" t="s">
        <v>158</v>
      </c>
      <c r="K112" s="26" t="s">
        <v>233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s="21" customFormat="1" ht="34.5" customHeight="1">
      <c r="A113" s="22">
        <v>112</v>
      </c>
      <c r="B113" s="23">
        <v>44782</v>
      </c>
      <c r="C113" s="98">
        <v>8809672812117</v>
      </c>
      <c r="D113" s="25" t="s">
        <v>240</v>
      </c>
      <c r="E113" s="22" t="s">
        <v>102</v>
      </c>
      <c r="F113" s="26">
        <v>12</v>
      </c>
      <c r="G113" s="20">
        <v>220000</v>
      </c>
      <c r="H113" s="22" t="s">
        <v>189</v>
      </c>
      <c r="I113" s="26" t="s">
        <v>232</v>
      </c>
      <c r="J113" s="26" t="s">
        <v>116</v>
      </c>
      <c r="K113" s="26" t="s">
        <v>233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s="21" customFormat="1" ht="34.5" customHeight="1">
      <c r="A114" s="22">
        <v>113</v>
      </c>
      <c r="B114" s="23">
        <v>44782</v>
      </c>
      <c r="C114" s="98">
        <v>8809639176108</v>
      </c>
      <c r="D114" s="25" t="s">
        <v>241</v>
      </c>
      <c r="E114" s="22" t="s">
        <v>102</v>
      </c>
      <c r="F114" s="26">
        <v>15</v>
      </c>
      <c r="G114" s="20">
        <v>140000</v>
      </c>
      <c r="H114" s="22" t="s">
        <v>189</v>
      </c>
      <c r="I114" s="26" t="s">
        <v>232</v>
      </c>
      <c r="J114" s="26" t="s">
        <v>158</v>
      </c>
      <c r="K114" s="26" t="s">
        <v>233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s="21" customFormat="1" ht="34.5" customHeight="1">
      <c r="A115" s="22">
        <v>114</v>
      </c>
      <c r="B115" s="23">
        <v>44812</v>
      </c>
      <c r="C115" s="98">
        <v>315909712127</v>
      </c>
      <c r="D115" s="25" t="s">
        <v>242</v>
      </c>
      <c r="E115" s="22" t="s">
        <v>178</v>
      </c>
      <c r="F115" s="26">
        <v>71</v>
      </c>
      <c r="G115" s="20">
        <v>38000</v>
      </c>
      <c r="H115" s="22" t="s">
        <v>189</v>
      </c>
      <c r="I115" s="26" t="s">
        <v>232</v>
      </c>
      <c r="J115" s="26"/>
      <c r="K115" s="26" t="s">
        <v>233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s="21" customFormat="1" ht="34.5" customHeight="1">
      <c r="A116" s="22">
        <v>115</v>
      </c>
      <c r="B116" s="23">
        <v>44812</v>
      </c>
      <c r="C116" s="98">
        <v>8809563069279</v>
      </c>
      <c r="D116" s="25" t="s">
        <v>243</v>
      </c>
      <c r="E116" s="22" t="s">
        <v>102</v>
      </c>
      <c r="F116" s="26">
        <v>367</v>
      </c>
      <c r="G116" s="20">
        <v>315000</v>
      </c>
      <c r="H116" s="22" t="s">
        <v>103</v>
      </c>
      <c r="I116" s="34" t="s">
        <v>244</v>
      </c>
      <c r="J116" s="26" t="s">
        <v>109</v>
      </c>
      <c r="K116" s="34" t="s">
        <v>245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s="21" customFormat="1" ht="34.5" customHeight="1">
      <c r="A117" s="22">
        <v>116</v>
      </c>
      <c r="B117" s="23">
        <v>44812</v>
      </c>
      <c r="C117" s="98">
        <v>8809563069286</v>
      </c>
      <c r="D117" s="25" t="s">
        <v>246</v>
      </c>
      <c r="E117" s="22" t="s">
        <v>102</v>
      </c>
      <c r="F117" s="26">
        <v>367</v>
      </c>
      <c r="G117" s="20">
        <v>315000</v>
      </c>
      <c r="H117" s="22" t="s">
        <v>103</v>
      </c>
      <c r="I117" s="34" t="s">
        <v>244</v>
      </c>
      <c r="J117" s="26" t="s">
        <v>109</v>
      </c>
      <c r="K117" s="34" t="s">
        <v>245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s="21" customFormat="1" ht="34.5" customHeight="1">
      <c r="A118" s="22">
        <v>117</v>
      </c>
      <c r="B118" s="23">
        <v>44812</v>
      </c>
      <c r="C118" s="98">
        <v>8809563069293</v>
      </c>
      <c r="D118" s="25" t="s">
        <v>247</v>
      </c>
      <c r="E118" s="22" t="s">
        <v>102</v>
      </c>
      <c r="F118" s="26">
        <v>367</v>
      </c>
      <c r="G118" s="20">
        <v>315000</v>
      </c>
      <c r="H118" s="22" t="s">
        <v>103</v>
      </c>
      <c r="I118" s="34" t="s">
        <v>244</v>
      </c>
      <c r="J118" s="26" t="s">
        <v>109</v>
      </c>
      <c r="K118" s="34" t="s">
        <v>245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s="32" customFormat="1" ht="34.5" customHeight="1">
      <c r="A119" s="22">
        <v>118</v>
      </c>
      <c r="B119" s="23">
        <v>44812</v>
      </c>
      <c r="C119" s="98">
        <v>8809563708079</v>
      </c>
      <c r="D119" s="25" t="s">
        <v>248</v>
      </c>
      <c r="E119" s="22" t="s">
        <v>102</v>
      </c>
      <c r="F119" s="26">
        <v>365</v>
      </c>
      <c r="G119" s="20">
        <v>385000</v>
      </c>
      <c r="H119" s="22" t="s">
        <v>103</v>
      </c>
      <c r="I119" s="26" t="s">
        <v>244</v>
      </c>
      <c r="J119" s="26" t="s">
        <v>109</v>
      </c>
      <c r="K119" s="26" t="s">
        <v>110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s="32" customFormat="1" ht="34.5" customHeight="1">
      <c r="A120" s="22">
        <v>119</v>
      </c>
      <c r="B120" s="23">
        <v>44812</v>
      </c>
      <c r="C120" s="98">
        <v>8809563708086</v>
      </c>
      <c r="D120" s="25" t="s">
        <v>249</v>
      </c>
      <c r="E120" s="22" t="s">
        <v>102</v>
      </c>
      <c r="F120" s="26">
        <v>365</v>
      </c>
      <c r="G120" s="20">
        <v>385000</v>
      </c>
      <c r="H120" s="22" t="s">
        <v>103</v>
      </c>
      <c r="I120" s="26" t="s">
        <v>244</v>
      </c>
      <c r="J120" s="26" t="s">
        <v>109</v>
      </c>
      <c r="K120" s="26" t="s">
        <v>110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s="32" customFormat="1" ht="34.5" customHeight="1">
      <c r="A121" s="22">
        <v>120</v>
      </c>
      <c r="B121" s="23">
        <v>44812</v>
      </c>
      <c r="C121" s="98">
        <v>8809563708093</v>
      </c>
      <c r="D121" s="25" t="s">
        <v>250</v>
      </c>
      <c r="E121" s="22" t="s">
        <v>102</v>
      </c>
      <c r="F121" s="26">
        <v>365</v>
      </c>
      <c r="G121" s="20">
        <v>385000</v>
      </c>
      <c r="H121" s="22" t="s">
        <v>103</v>
      </c>
      <c r="I121" s="26" t="s">
        <v>244</v>
      </c>
      <c r="J121" s="26" t="s">
        <v>109</v>
      </c>
      <c r="K121" s="26" t="s">
        <v>110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s="21" customFormat="1" ht="34.5" customHeight="1">
      <c r="A122" s="22">
        <v>121</v>
      </c>
      <c r="B122" s="23">
        <v>44812</v>
      </c>
      <c r="C122" s="98">
        <v>8809639176764</v>
      </c>
      <c r="D122" s="25" t="s">
        <v>251</v>
      </c>
      <c r="E122" s="22" t="s">
        <v>102</v>
      </c>
      <c r="F122" s="26">
        <v>255</v>
      </c>
      <c r="G122" s="20">
        <v>250000</v>
      </c>
      <c r="H122" s="22" t="s">
        <v>103</v>
      </c>
      <c r="I122" s="26" t="s">
        <v>228</v>
      </c>
      <c r="J122" s="26" t="s">
        <v>116</v>
      </c>
      <c r="K122" s="26" t="s">
        <v>229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s="21" customFormat="1" ht="34.5" customHeight="1">
      <c r="A123" s="16">
        <v>122</v>
      </c>
      <c r="B123" s="17">
        <v>44838</v>
      </c>
      <c r="C123" s="97">
        <v>8809563069194</v>
      </c>
      <c r="D123" s="18" t="s">
        <v>252</v>
      </c>
      <c r="E123" s="16" t="s">
        <v>102</v>
      </c>
      <c r="F123" s="19">
        <v>34</v>
      </c>
      <c r="G123" s="20">
        <v>199000</v>
      </c>
      <c r="H123" s="16" t="s">
        <v>103</v>
      </c>
      <c r="I123" s="19"/>
      <c r="J123" s="19" t="s">
        <v>116</v>
      </c>
      <c r="K123" s="1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s="21" customFormat="1" ht="34.5" customHeight="1">
      <c r="A124" s="16">
        <v>123</v>
      </c>
      <c r="B124" s="17">
        <v>44855</v>
      </c>
      <c r="C124" s="97">
        <v>8809875902219</v>
      </c>
      <c r="D124" s="18" t="s">
        <v>253</v>
      </c>
      <c r="E124" s="16" t="s">
        <v>102</v>
      </c>
      <c r="F124" s="19">
        <v>90</v>
      </c>
      <c r="G124" s="20">
        <v>395000</v>
      </c>
      <c r="H124" s="16" t="s">
        <v>103</v>
      </c>
      <c r="I124" s="19"/>
      <c r="J124" s="19"/>
      <c r="K124" s="1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s="21" customFormat="1" ht="34.5" customHeight="1">
      <c r="A125" s="16">
        <v>124</v>
      </c>
      <c r="B125" s="17">
        <v>44855</v>
      </c>
      <c r="C125" s="97">
        <v>8809875902226</v>
      </c>
      <c r="D125" s="18" t="s">
        <v>254</v>
      </c>
      <c r="E125" s="16" t="s">
        <v>102</v>
      </c>
      <c r="F125" s="19">
        <v>90</v>
      </c>
      <c r="G125" s="20">
        <v>395000</v>
      </c>
      <c r="H125" s="16" t="s">
        <v>103</v>
      </c>
      <c r="I125" s="19"/>
      <c r="J125" s="19"/>
      <c r="K125" s="1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s="21" customFormat="1" ht="34.5" customHeight="1">
      <c r="A126" s="16">
        <v>125</v>
      </c>
      <c r="B126" s="17">
        <v>44855</v>
      </c>
      <c r="C126" s="97">
        <v>8809526840891</v>
      </c>
      <c r="D126" s="18" t="s">
        <v>255</v>
      </c>
      <c r="E126" s="16" t="s">
        <v>102</v>
      </c>
      <c r="F126" s="19">
        <v>91</v>
      </c>
      <c r="G126" s="20">
        <v>395000</v>
      </c>
      <c r="H126" s="16" t="s">
        <v>103</v>
      </c>
      <c r="I126" s="19"/>
      <c r="J126" s="19"/>
      <c r="K126" s="1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s="21" customFormat="1" ht="34.5" customHeight="1">
      <c r="A127" s="16">
        <v>126</v>
      </c>
      <c r="B127" s="17">
        <v>44855</v>
      </c>
      <c r="C127" s="97">
        <v>8809526840907</v>
      </c>
      <c r="D127" s="18" t="s">
        <v>256</v>
      </c>
      <c r="E127" s="16" t="s">
        <v>102</v>
      </c>
      <c r="F127" s="19">
        <v>91</v>
      </c>
      <c r="G127" s="20">
        <v>395000</v>
      </c>
      <c r="H127" s="16" t="s">
        <v>103</v>
      </c>
      <c r="I127" s="19"/>
      <c r="J127" s="19"/>
      <c r="K127" s="1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s="21" customFormat="1" ht="33.75" customHeight="1">
      <c r="A128" s="16">
        <v>127</v>
      </c>
      <c r="B128" s="23">
        <v>44863</v>
      </c>
      <c r="C128" s="98">
        <v>315909712128</v>
      </c>
      <c r="D128" s="26" t="s">
        <v>257</v>
      </c>
      <c r="E128" s="22" t="s">
        <v>178</v>
      </c>
      <c r="F128" s="19">
        <v>26</v>
      </c>
      <c r="G128" s="20">
        <v>20000</v>
      </c>
      <c r="H128" s="16" t="s">
        <v>103</v>
      </c>
      <c r="I128" s="19"/>
      <c r="J128" s="26" t="s">
        <v>158</v>
      </c>
      <c r="K128" s="26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s="21" customFormat="1" ht="33.75" customHeight="1">
      <c r="A129" s="16">
        <v>128</v>
      </c>
      <c r="B129" s="35" t="s">
        <v>258</v>
      </c>
      <c r="C129" s="100">
        <v>315909712129</v>
      </c>
      <c r="D129" s="36" t="s">
        <v>259</v>
      </c>
      <c r="E129" s="37" t="s">
        <v>178</v>
      </c>
      <c r="F129" s="19">
        <v>438</v>
      </c>
      <c r="G129" s="20">
        <v>29000</v>
      </c>
      <c r="H129" s="16" t="s">
        <v>103</v>
      </c>
      <c r="I129" s="19"/>
      <c r="J129" s="26" t="s">
        <v>158</v>
      </c>
      <c r="K129" s="26"/>
      <c r="L129" s="38"/>
      <c r="M129" s="3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spans="1:32" s="32" customFormat="1" ht="34.5" customHeight="1">
      <c r="A130" s="22">
        <v>129</v>
      </c>
      <c r="B130" s="35" t="s">
        <v>260</v>
      </c>
      <c r="C130" s="100">
        <v>315909712130</v>
      </c>
      <c r="D130" s="36" t="s">
        <v>261</v>
      </c>
      <c r="E130" s="37" t="s">
        <v>178</v>
      </c>
      <c r="F130" s="26">
        <v>80</v>
      </c>
      <c r="G130" s="20">
        <v>20000</v>
      </c>
      <c r="H130" s="22" t="s">
        <v>189</v>
      </c>
      <c r="I130" s="26" t="s">
        <v>232</v>
      </c>
      <c r="J130" s="26" t="s">
        <v>158</v>
      </c>
      <c r="K130" s="26" t="s">
        <v>233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s="32" customFormat="1" ht="34.5" customHeight="1">
      <c r="A131" s="22">
        <v>130</v>
      </c>
      <c r="B131" s="35" t="s">
        <v>262</v>
      </c>
      <c r="C131" s="100">
        <v>315909712131</v>
      </c>
      <c r="D131" s="36" t="s">
        <v>263</v>
      </c>
      <c r="E131" s="37" t="s">
        <v>178</v>
      </c>
      <c r="F131" s="26">
        <v>52</v>
      </c>
      <c r="G131" s="20">
        <v>20000</v>
      </c>
      <c r="H131" s="22" t="s">
        <v>189</v>
      </c>
      <c r="I131" s="26" t="s">
        <v>232</v>
      </c>
      <c r="J131" s="26" t="s">
        <v>158</v>
      </c>
      <c r="K131" s="26" t="s">
        <v>233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s="32" customFormat="1" ht="34.5" customHeight="1">
      <c r="A132" s="22">
        <v>131</v>
      </c>
      <c r="B132" s="23">
        <v>44980</v>
      </c>
      <c r="C132" s="98" t="s">
        <v>264</v>
      </c>
      <c r="D132" s="39" t="s">
        <v>37</v>
      </c>
      <c r="E132" s="22" t="s">
        <v>102</v>
      </c>
      <c r="F132" s="40">
        <v>360</v>
      </c>
      <c r="G132" s="20">
        <v>675000</v>
      </c>
      <c r="H132" s="22" t="s">
        <v>103</v>
      </c>
      <c r="I132" s="26" t="s">
        <v>265</v>
      </c>
      <c r="J132" s="34" t="s">
        <v>109</v>
      </c>
      <c r="K132" s="25" t="s">
        <v>266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s="32" customFormat="1" ht="34.5" customHeight="1">
      <c r="A133" s="22">
        <v>132</v>
      </c>
      <c r="B133" s="23">
        <v>44980</v>
      </c>
      <c r="C133" s="98">
        <v>8809203078227</v>
      </c>
      <c r="D133" s="25" t="s">
        <v>5</v>
      </c>
      <c r="E133" s="22" t="s">
        <v>102</v>
      </c>
      <c r="F133" s="40">
        <v>360</v>
      </c>
      <c r="G133" s="20">
        <v>675000</v>
      </c>
      <c r="H133" s="22" t="s">
        <v>103</v>
      </c>
      <c r="I133" s="26" t="s">
        <v>265</v>
      </c>
      <c r="J133" s="34" t="s">
        <v>109</v>
      </c>
      <c r="K133" s="25" t="s">
        <v>266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s="32" customFormat="1" ht="34.5" customHeight="1">
      <c r="A134" s="22">
        <v>133</v>
      </c>
      <c r="B134" s="23">
        <v>45001</v>
      </c>
      <c r="C134" s="98">
        <v>8809864752238</v>
      </c>
      <c r="D134" s="26" t="s">
        <v>23</v>
      </c>
      <c r="E134" s="22" t="s">
        <v>102</v>
      </c>
      <c r="F134" s="40">
        <v>86</v>
      </c>
      <c r="G134" s="20">
        <v>385000</v>
      </c>
      <c r="H134" s="22" t="s">
        <v>103</v>
      </c>
      <c r="I134" s="26" t="s">
        <v>267</v>
      </c>
      <c r="J134" s="34" t="s">
        <v>109</v>
      </c>
      <c r="K134" s="25" t="s">
        <v>266</v>
      </c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</row>
    <row r="135" spans="1:32" s="32" customFormat="1" ht="34.5" customHeight="1">
      <c r="A135" s="22">
        <v>134</v>
      </c>
      <c r="B135" s="23">
        <v>45001</v>
      </c>
      <c r="C135" s="98">
        <v>8809864752245</v>
      </c>
      <c r="D135" s="26" t="s">
        <v>24</v>
      </c>
      <c r="E135" s="22" t="s">
        <v>102</v>
      </c>
      <c r="F135" s="40">
        <v>86</v>
      </c>
      <c r="G135" s="20">
        <v>385000</v>
      </c>
      <c r="H135" s="22" t="s">
        <v>103</v>
      </c>
      <c r="I135" s="26" t="s">
        <v>267</v>
      </c>
      <c r="J135" s="34" t="s">
        <v>109</v>
      </c>
      <c r="K135" s="25" t="s">
        <v>266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s="32" customFormat="1" ht="34.5" customHeight="1">
      <c r="A136" s="22">
        <v>135</v>
      </c>
      <c r="B136" s="23">
        <v>45001</v>
      </c>
      <c r="C136" s="98">
        <v>8809875904862</v>
      </c>
      <c r="D136" s="26" t="s">
        <v>25</v>
      </c>
      <c r="E136" s="22" t="s">
        <v>102</v>
      </c>
      <c r="F136" s="40">
        <v>92</v>
      </c>
      <c r="G136" s="20">
        <v>425000</v>
      </c>
      <c r="H136" s="22" t="s">
        <v>103</v>
      </c>
      <c r="I136" s="34" t="s">
        <v>268</v>
      </c>
      <c r="J136" s="34" t="s">
        <v>109</v>
      </c>
      <c r="K136" s="42" t="s">
        <v>110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s="32" customFormat="1" ht="34.5" customHeight="1">
      <c r="A137" s="22">
        <v>136</v>
      </c>
      <c r="B137" s="23">
        <v>45001</v>
      </c>
      <c r="C137" s="98">
        <v>8809875904879</v>
      </c>
      <c r="D137" s="26" t="s">
        <v>26</v>
      </c>
      <c r="E137" s="22" t="s">
        <v>102</v>
      </c>
      <c r="F137" s="40">
        <v>92</v>
      </c>
      <c r="G137" s="20">
        <v>425000</v>
      </c>
      <c r="H137" s="22" t="s">
        <v>103</v>
      </c>
      <c r="I137" s="34" t="s">
        <v>268</v>
      </c>
      <c r="J137" s="34" t="s">
        <v>109</v>
      </c>
      <c r="K137" s="42" t="s">
        <v>110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s="32" customFormat="1" ht="34.5" customHeight="1">
      <c r="A138" s="22">
        <v>137</v>
      </c>
      <c r="B138" s="23">
        <v>45001</v>
      </c>
      <c r="C138" s="98">
        <v>8809526841393</v>
      </c>
      <c r="D138" s="25" t="s">
        <v>19</v>
      </c>
      <c r="E138" s="22" t="s">
        <v>102</v>
      </c>
      <c r="F138" s="40">
        <v>92</v>
      </c>
      <c r="G138" s="20">
        <v>425000</v>
      </c>
      <c r="H138" s="22" t="s">
        <v>103</v>
      </c>
      <c r="I138" s="26" t="s">
        <v>269</v>
      </c>
      <c r="J138" s="34" t="s">
        <v>109</v>
      </c>
      <c r="K138" s="25" t="s">
        <v>266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s="32" customFormat="1" ht="34.5" customHeight="1">
      <c r="A139" s="22">
        <v>138</v>
      </c>
      <c r="B139" s="23">
        <v>45001</v>
      </c>
      <c r="C139" s="98">
        <v>8809526841409</v>
      </c>
      <c r="D139" s="25" t="s">
        <v>20</v>
      </c>
      <c r="E139" s="22" t="s">
        <v>102</v>
      </c>
      <c r="F139" s="40">
        <v>92</v>
      </c>
      <c r="G139" s="20">
        <v>425000</v>
      </c>
      <c r="H139" s="22" t="s">
        <v>103</v>
      </c>
      <c r="I139" s="26" t="s">
        <v>269</v>
      </c>
      <c r="J139" s="34" t="s">
        <v>109</v>
      </c>
      <c r="K139" s="25" t="s">
        <v>266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s="21" customFormat="1" ht="34.5" customHeight="1">
      <c r="A140" s="16">
        <v>139</v>
      </c>
      <c r="B140" s="23">
        <v>45005</v>
      </c>
      <c r="C140" s="98">
        <v>8809491946154</v>
      </c>
      <c r="D140" s="25" t="s">
        <v>6</v>
      </c>
      <c r="E140" s="22" t="s">
        <v>102</v>
      </c>
      <c r="F140" s="40">
        <v>31</v>
      </c>
      <c r="G140" s="20">
        <v>149000</v>
      </c>
      <c r="H140" s="22" t="s">
        <v>270</v>
      </c>
      <c r="I140" s="26" t="s">
        <v>271</v>
      </c>
      <c r="J140" s="19" t="s">
        <v>109</v>
      </c>
      <c r="K140" s="25" t="s">
        <v>272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spans="1:32" s="21" customFormat="1" ht="34.5" customHeight="1">
      <c r="A141" s="16">
        <v>140</v>
      </c>
      <c r="B141" s="23">
        <v>45005</v>
      </c>
      <c r="C141" s="98">
        <v>8809491946161</v>
      </c>
      <c r="D141" s="25" t="s">
        <v>7</v>
      </c>
      <c r="E141" s="22" t="s">
        <v>102</v>
      </c>
      <c r="F141" s="40">
        <v>31</v>
      </c>
      <c r="G141" s="20">
        <v>149000</v>
      </c>
      <c r="H141" s="22" t="s">
        <v>270</v>
      </c>
      <c r="I141" s="26" t="s">
        <v>271</v>
      </c>
      <c r="J141" s="19" t="s">
        <v>109</v>
      </c>
      <c r="K141" s="25" t="s">
        <v>272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spans="1:32" s="21" customFormat="1" ht="34.5" customHeight="1">
      <c r="A142" s="16">
        <v>141</v>
      </c>
      <c r="B142" s="23">
        <v>45005</v>
      </c>
      <c r="C142" s="98">
        <v>8809491946178</v>
      </c>
      <c r="D142" s="25" t="s">
        <v>8</v>
      </c>
      <c r="E142" s="22" t="s">
        <v>102</v>
      </c>
      <c r="F142" s="40">
        <v>31</v>
      </c>
      <c r="G142" s="20">
        <v>149000</v>
      </c>
      <c r="H142" s="22" t="s">
        <v>270</v>
      </c>
      <c r="I142" s="26" t="s">
        <v>271</v>
      </c>
      <c r="J142" s="19" t="s">
        <v>109</v>
      </c>
      <c r="K142" s="25" t="s">
        <v>272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spans="1:32" s="21" customFormat="1" ht="34.5" customHeight="1">
      <c r="A143" s="16">
        <v>142</v>
      </c>
      <c r="B143" s="23">
        <v>45005</v>
      </c>
      <c r="C143" s="98">
        <v>8809491946185</v>
      </c>
      <c r="D143" s="25" t="s">
        <v>9</v>
      </c>
      <c r="E143" s="22" t="s">
        <v>102</v>
      </c>
      <c r="F143" s="40">
        <v>31</v>
      </c>
      <c r="G143" s="20">
        <v>149000</v>
      </c>
      <c r="H143" s="22" t="s">
        <v>270</v>
      </c>
      <c r="I143" s="26" t="s">
        <v>271</v>
      </c>
      <c r="J143" s="19" t="s">
        <v>109</v>
      </c>
      <c r="K143" s="25" t="s">
        <v>272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spans="1:32" s="21" customFormat="1" ht="34.5" customHeight="1">
      <c r="A144" s="16">
        <v>143</v>
      </c>
      <c r="B144" s="23">
        <v>45005</v>
      </c>
      <c r="C144" s="98">
        <v>8809491946192</v>
      </c>
      <c r="D144" s="25" t="s">
        <v>10</v>
      </c>
      <c r="E144" s="22" t="s">
        <v>102</v>
      </c>
      <c r="F144" s="40">
        <v>31</v>
      </c>
      <c r="G144" s="20">
        <v>149000</v>
      </c>
      <c r="H144" s="22" t="s">
        <v>270</v>
      </c>
      <c r="I144" s="26" t="s">
        <v>271</v>
      </c>
      <c r="J144" s="19" t="s">
        <v>109</v>
      </c>
      <c r="K144" s="25" t="s">
        <v>272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spans="1:32" s="21" customFormat="1" ht="34.5" customHeight="1">
      <c r="A145" s="16">
        <v>144</v>
      </c>
      <c r="B145" s="23">
        <v>45005</v>
      </c>
      <c r="C145" s="98">
        <v>8809491946208</v>
      </c>
      <c r="D145" s="25" t="s">
        <v>11</v>
      </c>
      <c r="E145" s="22" t="s">
        <v>102</v>
      </c>
      <c r="F145" s="40">
        <v>31</v>
      </c>
      <c r="G145" s="20">
        <v>149000</v>
      </c>
      <c r="H145" s="22" t="s">
        <v>270</v>
      </c>
      <c r="I145" s="26" t="s">
        <v>271</v>
      </c>
      <c r="J145" s="19" t="s">
        <v>109</v>
      </c>
      <c r="K145" s="25" t="s">
        <v>272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spans="1:32" s="21" customFormat="1" ht="34.5" customHeight="1">
      <c r="A146" s="16">
        <v>145</v>
      </c>
      <c r="B146" s="23">
        <v>45005</v>
      </c>
      <c r="C146" s="98">
        <v>8809491946215</v>
      </c>
      <c r="D146" s="25" t="s">
        <v>12</v>
      </c>
      <c r="E146" s="22" t="s">
        <v>102</v>
      </c>
      <c r="F146" s="40">
        <v>31</v>
      </c>
      <c r="G146" s="20">
        <v>149000</v>
      </c>
      <c r="H146" s="22" t="s">
        <v>270</v>
      </c>
      <c r="I146" s="26" t="s">
        <v>271</v>
      </c>
      <c r="J146" s="19" t="s">
        <v>109</v>
      </c>
      <c r="K146" s="25" t="s">
        <v>272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spans="1:32" s="21" customFormat="1" ht="34.5" customHeight="1">
      <c r="A147" s="16">
        <v>146</v>
      </c>
      <c r="B147" s="23">
        <v>45005</v>
      </c>
      <c r="C147" s="98">
        <v>8809491946222</v>
      </c>
      <c r="D147" s="25" t="s">
        <v>13</v>
      </c>
      <c r="E147" s="22" t="s">
        <v>102</v>
      </c>
      <c r="F147" s="40">
        <v>31</v>
      </c>
      <c r="G147" s="20">
        <v>149000</v>
      </c>
      <c r="H147" s="22" t="s">
        <v>270</v>
      </c>
      <c r="I147" s="26" t="s">
        <v>271</v>
      </c>
      <c r="J147" s="19" t="s">
        <v>109</v>
      </c>
      <c r="K147" s="25" t="s">
        <v>272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spans="1:32" s="21" customFormat="1" ht="34.5" customHeight="1">
      <c r="A148" s="16">
        <v>147</v>
      </c>
      <c r="B148" s="23">
        <v>45005</v>
      </c>
      <c r="C148" s="98">
        <v>8809491946239</v>
      </c>
      <c r="D148" s="25" t="s">
        <v>14</v>
      </c>
      <c r="E148" s="22" t="s">
        <v>102</v>
      </c>
      <c r="F148" s="40">
        <v>31</v>
      </c>
      <c r="G148" s="20">
        <v>149000</v>
      </c>
      <c r="H148" s="22" t="s">
        <v>270</v>
      </c>
      <c r="I148" s="26" t="s">
        <v>271</v>
      </c>
      <c r="J148" s="19" t="s">
        <v>109</v>
      </c>
      <c r="K148" s="25" t="s">
        <v>272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spans="1:32" s="21" customFormat="1" ht="34.5" customHeight="1">
      <c r="A149" s="16">
        <v>148</v>
      </c>
      <c r="B149" s="23">
        <v>45005</v>
      </c>
      <c r="C149" s="98">
        <v>8809491946246</v>
      </c>
      <c r="D149" s="25" t="s">
        <v>15</v>
      </c>
      <c r="E149" s="22" t="s">
        <v>102</v>
      </c>
      <c r="F149" s="40">
        <v>31</v>
      </c>
      <c r="G149" s="20">
        <v>149000</v>
      </c>
      <c r="H149" s="22" t="s">
        <v>270</v>
      </c>
      <c r="I149" s="26" t="s">
        <v>271</v>
      </c>
      <c r="J149" s="19" t="s">
        <v>109</v>
      </c>
      <c r="K149" s="25" t="s">
        <v>272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spans="1:32" s="21" customFormat="1" ht="34.5" customHeight="1">
      <c r="A150" s="16">
        <v>149</v>
      </c>
      <c r="B150" s="23">
        <v>45005</v>
      </c>
      <c r="C150" s="98">
        <v>8809491946253</v>
      </c>
      <c r="D150" s="25" t="s">
        <v>16</v>
      </c>
      <c r="E150" s="22" t="s">
        <v>102</v>
      </c>
      <c r="F150" s="40">
        <v>31</v>
      </c>
      <c r="G150" s="20">
        <v>149000</v>
      </c>
      <c r="H150" s="22" t="s">
        <v>270</v>
      </c>
      <c r="I150" s="26" t="s">
        <v>271</v>
      </c>
      <c r="J150" s="19" t="s">
        <v>109</v>
      </c>
      <c r="K150" s="25" t="s">
        <v>272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spans="1:32" s="21" customFormat="1" ht="34.5" customHeight="1">
      <c r="A151" s="16">
        <v>150</v>
      </c>
      <c r="B151" s="23">
        <v>45005</v>
      </c>
      <c r="C151" s="98">
        <v>8809491946260</v>
      </c>
      <c r="D151" s="25" t="s">
        <v>17</v>
      </c>
      <c r="E151" s="22" t="s">
        <v>102</v>
      </c>
      <c r="F151" s="40">
        <v>31</v>
      </c>
      <c r="G151" s="20">
        <v>149000</v>
      </c>
      <c r="H151" s="22" t="s">
        <v>270</v>
      </c>
      <c r="I151" s="26" t="s">
        <v>271</v>
      </c>
      <c r="J151" s="19" t="s">
        <v>109</v>
      </c>
      <c r="K151" s="25" t="s">
        <v>272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spans="1:32" s="21" customFormat="1" ht="34.5" customHeight="1">
      <c r="A152" s="16">
        <v>151</v>
      </c>
      <c r="B152" s="23">
        <v>45005</v>
      </c>
      <c r="C152" s="98">
        <v>8809491946277</v>
      </c>
      <c r="D152" s="25" t="s">
        <v>18</v>
      </c>
      <c r="E152" s="22" t="s">
        <v>102</v>
      </c>
      <c r="F152" s="40">
        <v>31</v>
      </c>
      <c r="G152" s="20">
        <v>149000</v>
      </c>
      <c r="H152" s="22" t="s">
        <v>270</v>
      </c>
      <c r="I152" s="26" t="s">
        <v>271</v>
      </c>
      <c r="J152" s="19" t="s">
        <v>109</v>
      </c>
      <c r="K152" s="25" t="s">
        <v>272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spans="1:32" s="21" customFormat="1" ht="34.5" customHeight="1">
      <c r="A153" s="22">
        <v>152</v>
      </c>
      <c r="B153" s="23">
        <v>45005</v>
      </c>
      <c r="C153" s="98">
        <v>8809563069910</v>
      </c>
      <c r="D153" s="25" t="s">
        <v>21</v>
      </c>
      <c r="E153" s="22" t="s">
        <v>102</v>
      </c>
      <c r="F153" s="40">
        <v>35</v>
      </c>
      <c r="G153" s="20">
        <v>199000</v>
      </c>
      <c r="H153" s="22" t="s">
        <v>103</v>
      </c>
      <c r="I153" s="26" t="s">
        <v>273</v>
      </c>
      <c r="J153" s="26" t="s">
        <v>116</v>
      </c>
      <c r="K153" s="25" t="s">
        <v>274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spans="1:32" s="21" customFormat="1" ht="34.5" customHeight="1">
      <c r="A154" s="22">
        <v>153</v>
      </c>
      <c r="B154" s="23">
        <v>45005</v>
      </c>
      <c r="C154" s="98">
        <v>8809783326770</v>
      </c>
      <c r="D154" s="25" t="s">
        <v>58</v>
      </c>
      <c r="E154" s="22" t="s">
        <v>102</v>
      </c>
      <c r="F154" s="40">
        <v>20</v>
      </c>
      <c r="G154" s="20">
        <v>199000</v>
      </c>
      <c r="H154" s="22" t="s">
        <v>103</v>
      </c>
      <c r="I154" s="26"/>
      <c r="J154" s="26"/>
      <c r="K154" s="25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spans="1:32" s="21" customFormat="1" ht="34.5" customHeight="1">
      <c r="A155" s="22">
        <v>154</v>
      </c>
      <c r="B155" s="23">
        <v>45005</v>
      </c>
      <c r="C155" s="98">
        <v>8809783326787</v>
      </c>
      <c r="D155" s="25" t="s">
        <v>60</v>
      </c>
      <c r="E155" s="22" t="s">
        <v>102</v>
      </c>
      <c r="F155" s="40">
        <v>20</v>
      </c>
      <c r="G155" s="20">
        <v>199000</v>
      </c>
      <c r="H155" s="22" t="s">
        <v>103</v>
      </c>
      <c r="I155" s="26"/>
      <c r="J155" s="26"/>
      <c r="K155" s="25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spans="1:32" s="21" customFormat="1" ht="34.5" customHeight="1">
      <c r="A156" s="22">
        <v>155</v>
      </c>
      <c r="B156" s="23">
        <v>45005</v>
      </c>
      <c r="C156" s="98">
        <v>8809783326794</v>
      </c>
      <c r="D156" s="25" t="s">
        <v>62</v>
      </c>
      <c r="E156" s="22" t="s">
        <v>102</v>
      </c>
      <c r="F156" s="40">
        <v>20</v>
      </c>
      <c r="G156" s="20">
        <v>199000</v>
      </c>
      <c r="H156" s="22" t="s">
        <v>103</v>
      </c>
      <c r="I156" s="26"/>
      <c r="J156" s="26"/>
      <c r="K156" s="25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spans="1:32" s="21" customFormat="1" ht="34.5" customHeight="1">
      <c r="A157" s="22">
        <v>156</v>
      </c>
      <c r="B157" s="23">
        <v>45005</v>
      </c>
      <c r="C157" s="98">
        <v>8809783326800</v>
      </c>
      <c r="D157" s="25" t="s">
        <v>64</v>
      </c>
      <c r="E157" s="22" t="s">
        <v>102</v>
      </c>
      <c r="F157" s="40">
        <v>20</v>
      </c>
      <c r="G157" s="20">
        <v>199000</v>
      </c>
      <c r="H157" s="22" t="s">
        <v>103</v>
      </c>
      <c r="I157" s="26"/>
      <c r="J157" s="26"/>
      <c r="K157" s="25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 s="21" customFormat="1" ht="34.5" customHeight="1">
      <c r="A158" s="22">
        <v>157</v>
      </c>
      <c r="B158" s="23">
        <v>45005</v>
      </c>
      <c r="C158" s="98">
        <v>8809783326817</v>
      </c>
      <c r="D158" s="25" t="s">
        <v>22</v>
      </c>
      <c r="E158" s="22" t="s">
        <v>102</v>
      </c>
      <c r="F158" s="40">
        <v>20</v>
      </c>
      <c r="G158" s="20">
        <v>199000</v>
      </c>
      <c r="H158" s="22" t="s">
        <v>103</v>
      </c>
      <c r="I158" s="26"/>
      <c r="J158" s="26"/>
      <c r="K158" s="25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s="21" customFormat="1" ht="33.75" customHeight="1">
      <c r="A159" s="22">
        <v>158</v>
      </c>
      <c r="B159" s="23">
        <v>45005</v>
      </c>
      <c r="C159" s="98">
        <v>8809783326824</v>
      </c>
      <c r="D159" s="25" t="s">
        <v>67</v>
      </c>
      <c r="E159" s="22" t="s">
        <v>102</v>
      </c>
      <c r="F159" s="40">
        <v>20</v>
      </c>
      <c r="G159" s="20">
        <v>199000</v>
      </c>
      <c r="H159" s="22" t="s">
        <v>103</v>
      </c>
      <c r="I159" s="26"/>
      <c r="J159" s="26"/>
      <c r="K159" s="25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 s="21" customFormat="1" ht="34.5" customHeight="1">
      <c r="A160" s="22">
        <v>159</v>
      </c>
      <c r="B160" s="23">
        <v>45009</v>
      </c>
      <c r="C160" s="98" t="s">
        <v>275</v>
      </c>
      <c r="D160" s="39" t="s">
        <v>276</v>
      </c>
      <c r="E160" s="22" t="s">
        <v>157</v>
      </c>
      <c r="F160" s="40">
        <v>20</v>
      </c>
      <c r="G160" s="20">
        <v>40000</v>
      </c>
      <c r="H160" s="22" t="s">
        <v>103</v>
      </c>
      <c r="I160" s="26" t="s">
        <v>277</v>
      </c>
      <c r="J160" s="26" t="s">
        <v>278</v>
      </c>
      <c r="K160" s="25" t="s">
        <v>279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s="21" customFormat="1" ht="34.5" customHeight="1">
      <c r="A161" s="22">
        <v>160</v>
      </c>
      <c r="B161" s="23">
        <v>45009</v>
      </c>
      <c r="C161" s="98" t="s">
        <v>280</v>
      </c>
      <c r="D161" s="25" t="s">
        <v>281</v>
      </c>
      <c r="E161" s="22" t="s">
        <v>157</v>
      </c>
      <c r="F161" s="40">
        <v>20</v>
      </c>
      <c r="G161" s="20">
        <v>40000</v>
      </c>
      <c r="H161" s="22" t="s">
        <v>103</v>
      </c>
      <c r="I161" s="26" t="s">
        <v>277</v>
      </c>
      <c r="J161" s="26" t="s">
        <v>278</v>
      </c>
      <c r="K161" s="25" t="s">
        <v>279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s="32" customFormat="1" ht="34.5" customHeight="1">
      <c r="A162" s="22">
        <v>161</v>
      </c>
      <c r="B162" s="23">
        <v>45019</v>
      </c>
      <c r="C162" s="98">
        <v>8936233680080</v>
      </c>
      <c r="D162" s="26" t="s">
        <v>282</v>
      </c>
      <c r="E162" s="22" t="s">
        <v>178</v>
      </c>
      <c r="F162" s="40">
        <v>50</v>
      </c>
      <c r="G162" s="20">
        <v>12000</v>
      </c>
      <c r="H162" s="22" t="s">
        <v>103</v>
      </c>
      <c r="I162" s="26" t="s">
        <v>283</v>
      </c>
      <c r="J162" s="26" t="s">
        <v>278</v>
      </c>
      <c r="K162" s="26" t="s">
        <v>284</v>
      </c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s="32" customFormat="1" ht="34.5" customHeight="1">
      <c r="A163" s="22">
        <v>162</v>
      </c>
      <c r="B163" s="23">
        <v>45034</v>
      </c>
      <c r="C163" s="98">
        <v>8936233680097</v>
      </c>
      <c r="D163" s="39" t="s">
        <v>285</v>
      </c>
      <c r="E163" s="22" t="s">
        <v>178</v>
      </c>
      <c r="F163" s="40">
        <v>490</v>
      </c>
      <c r="G163" s="20">
        <v>35000</v>
      </c>
      <c r="H163" s="22" t="s">
        <v>103</v>
      </c>
      <c r="I163" s="34" t="s">
        <v>286</v>
      </c>
      <c r="J163" s="34" t="s">
        <v>278</v>
      </c>
      <c r="K163" s="25" t="s">
        <v>287</v>
      </c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s="32" customFormat="1" ht="34.5" customHeight="1">
      <c r="A164" s="22">
        <v>163</v>
      </c>
      <c r="B164" s="23">
        <v>45070</v>
      </c>
      <c r="C164" s="98">
        <v>8936233680073</v>
      </c>
      <c r="D164" s="25" t="s">
        <v>288</v>
      </c>
      <c r="E164" s="22" t="s">
        <v>178</v>
      </c>
      <c r="F164" s="40">
        <v>70</v>
      </c>
      <c r="G164" s="20">
        <v>15000</v>
      </c>
      <c r="H164" s="22" t="s">
        <v>103</v>
      </c>
      <c r="I164" s="26" t="s">
        <v>289</v>
      </c>
      <c r="J164" s="34" t="s">
        <v>278</v>
      </c>
      <c r="K164" s="25" t="s">
        <v>287</v>
      </c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s="32" customFormat="1" ht="34.5" customHeight="1">
      <c r="A165" s="22">
        <v>164</v>
      </c>
      <c r="B165" s="23">
        <v>45079</v>
      </c>
      <c r="C165" s="101">
        <v>8809491946659</v>
      </c>
      <c r="D165" s="26" t="s">
        <v>290</v>
      </c>
      <c r="E165" s="22" t="s">
        <v>178</v>
      </c>
      <c r="F165" s="40">
        <v>2</v>
      </c>
      <c r="G165" s="20">
        <v>50000</v>
      </c>
      <c r="H165" s="22" t="s">
        <v>103</v>
      </c>
      <c r="I165" s="34"/>
      <c r="J165" s="34" t="s">
        <v>278</v>
      </c>
      <c r="K165" s="34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s="32" customFormat="1" ht="34.5" customHeight="1">
      <c r="A166" s="22">
        <v>165</v>
      </c>
      <c r="B166" s="23">
        <v>45079</v>
      </c>
      <c r="C166" s="101">
        <v>8809563708529</v>
      </c>
      <c r="D166" s="26" t="s">
        <v>291</v>
      </c>
      <c r="E166" s="22" t="s">
        <v>219</v>
      </c>
      <c r="F166" s="40">
        <v>22</v>
      </c>
      <c r="G166" s="20">
        <v>49000</v>
      </c>
      <c r="H166" s="22" t="s">
        <v>103</v>
      </c>
      <c r="I166" s="26" t="s">
        <v>292</v>
      </c>
      <c r="J166" s="34" t="s">
        <v>278</v>
      </c>
      <c r="K166" s="26" t="s">
        <v>293</v>
      </c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s="32" customFormat="1" ht="34.5" customHeight="1">
      <c r="A167" s="22">
        <v>166</v>
      </c>
      <c r="B167" s="23">
        <v>45097</v>
      </c>
      <c r="C167" s="101">
        <v>8936233680226</v>
      </c>
      <c r="D167" s="26" t="s">
        <v>294</v>
      </c>
      <c r="E167" s="22" t="s">
        <v>178</v>
      </c>
      <c r="F167" s="40">
        <v>7</v>
      </c>
      <c r="G167" s="20">
        <v>5000</v>
      </c>
      <c r="H167" s="22" t="s">
        <v>103</v>
      </c>
      <c r="I167" s="26" t="s">
        <v>295</v>
      </c>
      <c r="J167" s="34" t="s">
        <v>278</v>
      </c>
      <c r="K167" s="25" t="s">
        <v>296</v>
      </c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s="21" customFormat="1" ht="47.25">
      <c r="A168" s="22">
        <v>167</v>
      </c>
      <c r="B168" s="23">
        <v>45156</v>
      </c>
      <c r="C168" s="101">
        <v>8809526841881</v>
      </c>
      <c r="D168" s="26" t="s">
        <v>297</v>
      </c>
      <c r="E168" s="22" t="s">
        <v>102</v>
      </c>
      <c r="F168" s="40">
        <v>31</v>
      </c>
      <c r="G168" s="20">
        <v>129000</v>
      </c>
      <c r="H168" s="22" t="s">
        <v>103</v>
      </c>
      <c r="I168" s="26" t="s">
        <v>298</v>
      </c>
      <c r="J168" s="34" t="s">
        <v>116</v>
      </c>
      <c r="K168" s="25" t="s">
        <v>299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 s="21" customFormat="1" ht="47.25">
      <c r="A169" s="22">
        <v>168</v>
      </c>
      <c r="B169" s="23">
        <v>45156</v>
      </c>
      <c r="C169" s="101">
        <v>8809526841898</v>
      </c>
      <c r="D169" s="26" t="s">
        <v>300</v>
      </c>
      <c r="E169" s="22" t="s">
        <v>102</v>
      </c>
      <c r="F169" s="40">
        <v>31</v>
      </c>
      <c r="G169" s="20">
        <v>129000</v>
      </c>
      <c r="H169" s="22" t="s">
        <v>103</v>
      </c>
      <c r="I169" s="26" t="s">
        <v>301</v>
      </c>
      <c r="J169" s="34" t="s">
        <v>116</v>
      </c>
      <c r="K169" s="25" t="s">
        <v>302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 s="21" customFormat="1" ht="63">
      <c r="A170" s="22">
        <v>169</v>
      </c>
      <c r="B170" s="23">
        <v>45156</v>
      </c>
      <c r="C170" s="101">
        <v>8809526841904</v>
      </c>
      <c r="D170" s="26" t="s">
        <v>303</v>
      </c>
      <c r="E170" s="22" t="s">
        <v>102</v>
      </c>
      <c r="F170" s="40">
        <v>31</v>
      </c>
      <c r="G170" s="20">
        <v>129000</v>
      </c>
      <c r="H170" s="22" t="s">
        <v>103</v>
      </c>
      <c r="I170" s="26" t="s">
        <v>304</v>
      </c>
      <c r="J170" s="34" t="s">
        <v>116</v>
      </c>
      <c r="K170" s="25" t="s">
        <v>305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 s="21" customFormat="1" ht="34.5" customHeight="1">
      <c r="A171" s="22">
        <v>170</v>
      </c>
      <c r="B171" s="23">
        <v>45156</v>
      </c>
      <c r="C171" s="101" t="s">
        <v>306</v>
      </c>
      <c r="D171" s="26" t="s">
        <v>307</v>
      </c>
      <c r="E171" s="22" t="s">
        <v>102</v>
      </c>
      <c r="F171" s="40">
        <v>26</v>
      </c>
      <c r="G171" s="20">
        <v>129000</v>
      </c>
      <c r="H171" s="22" t="s">
        <v>103</v>
      </c>
      <c r="I171" s="34" t="s">
        <v>271</v>
      </c>
      <c r="J171" s="34" t="s">
        <v>116</v>
      </c>
      <c r="K171" s="25" t="s">
        <v>308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 s="32" customFormat="1" ht="34.5" customHeight="1">
      <c r="A172" s="22">
        <v>171</v>
      </c>
      <c r="B172" s="23">
        <v>45156</v>
      </c>
      <c r="C172" s="99">
        <v>8936233680219</v>
      </c>
      <c r="D172" s="26" t="s">
        <v>309</v>
      </c>
      <c r="E172" s="22" t="s">
        <v>178</v>
      </c>
      <c r="F172" s="40">
        <v>28</v>
      </c>
      <c r="G172" s="20">
        <v>14000</v>
      </c>
      <c r="H172" s="22" t="s">
        <v>270</v>
      </c>
      <c r="I172" s="43" t="s">
        <v>310</v>
      </c>
      <c r="J172" s="26" t="s">
        <v>278</v>
      </c>
      <c r="K172" s="26" t="s">
        <v>311</v>
      </c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s="32" customFormat="1" ht="34.5" customHeight="1">
      <c r="A173" s="22">
        <v>172</v>
      </c>
      <c r="B173" s="23">
        <v>45156</v>
      </c>
      <c r="C173" s="99">
        <v>8936233680202</v>
      </c>
      <c r="D173" s="26" t="s">
        <v>312</v>
      </c>
      <c r="E173" s="22" t="s">
        <v>178</v>
      </c>
      <c r="F173" s="40">
        <v>96</v>
      </c>
      <c r="G173" s="20">
        <v>50000</v>
      </c>
      <c r="H173" s="22" t="s">
        <v>103</v>
      </c>
      <c r="I173" s="43" t="s">
        <v>313</v>
      </c>
      <c r="J173" s="26" t="s">
        <v>278</v>
      </c>
      <c r="K173" s="26" t="s">
        <v>311</v>
      </c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s="32" customFormat="1" ht="34.5" customHeight="1">
      <c r="A174" s="22">
        <v>173</v>
      </c>
      <c r="B174" s="23">
        <v>45156</v>
      </c>
      <c r="C174" s="99">
        <v>8936233680196</v>
      </c>
      <c r="D174" s="26" t="s">
        <v>314</v>
      </c>
      <c r="E174" s="22" t="s">
        <v>178</v>
      </c>
      <c r="F174" s="40">
        <v>130</v>
      </c>
      <c r="G174" s="20">
        <v>50000</v>
      </c>
      <c r="H174" s="22" t="s">
        <v>103</v>
      </c>
      <c r="I174" s="43" t="s">
        <v>315</v>
      </c>
      <c r="J174" s="26" t="s">
        <v>278</v>
      </c>
      <c r="K174" s="26" t="s">
        <v>311</v>
      </c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s="32" customFormat="1" ht="34.5" customHeight="1">
      <c r="A175" s="22">
        <v>174</v>
      </c>
      <c r="B175" s="23">
        <v>45159</v>
      </c>
      <c r="C175" s="99">
        <v>8936233680189</v>
      </c>
      <c r="D175" s="26" t="s">
        <v>316</v>
      </c>
      <c r="E175" s="22" t="s">
        <v>178</v>
      </c>
      <c r="F175" s="40">
        <v>3</v>
      </c>
      <c r="G175" s="20">
        <v>20000</v>
      </c>
      <c r="H175" s="22" t="s">
        <v>103</v>
      </c>
      <c r="I175" s="43" t="s">
        <v>317</v>
      </c>
      <c r="J175" s="26" t="s">
        <v>278</v>
      </c>
      <c r="K175" s="26" t="s">
        <v>311</v>
      </c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s="21" customFormat="1" ht="47.25">
      <c r="A176" s="22">
        <v>175</v>
      </c>
      <c r="B176" s="23">
        <v>45163</v>
      </c>
      <c r="C176" s="101">
        <v>8809875907221</v>
      </c>
      <c r="D176" s="26" t="s">
        <v>318</v>
      </c>
      <c r="E176" s="22" t="s">
        <v>102</v>
      </c>
      <c r="F176" s="40">
        <v>70</v>
      </c>
      <c r="G176" s="20">
        <v>179000</v>
      </c>
      <c r="H176" s="22" t="s">
        <v>103</v>
      </c>
      <c r="I176" s="34" t="s">
        <v>319</v>
      </c>
      <c r="J176" s="34" t="s">
        <v>109</v>
      </c>
      <c r="K176" s="25" t="s">
        <v>320</v>
      </c>
      <c r="L176" s="32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s="21" customFormat="1" ht="44.25" customHeight="1">
      <c r="A177" s="22">
        <v>176</v>
      </c>
      <c r="B177" s="23">
        <v>45163</v>
      </c>
      <c r="C177" s="98">
        <v>8809875907238</v>
      </c>
      <c r="D177" s="26" t="s">
        <v>321</v>
      </c>
      <c r="E177" s="22" t="s">
        <v>102</v>
      </c>
      <c r="F177" s="40">
        <v>15</v>
      </c>
      <c r="G177" s="20">
        <v>30000</v>
      </c>
      <c r="H177" s="22" t="s">
        <v>270</v>
      </c>
      <c r="I177" s="34" t="s">
        <v>322</v>
      </c>
      <c r="J177" s="34" t="s">
        <v>116</v>
      </c>
      <c r="K177" s="44" t="s">
        <v>323</v>
      </c>
      <c r="L177" s="32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s="21" customFormat="1" ht="34.5" customHeight="1">
      <c r="A178" s="22">
        <v>177</v>
      </c>
      <c r="B178" s="23">
        <v>45174</v>
      </c>
      <c r="C178" s="98">
        <v>8809563069729</v>
      </c>
      <c r="D178" s="26" t="s">
        <v>324</v>
      </c>
      <c r="E178" s="22" t="s">
        <v>102</v>
      </c>
      <c r="F178" s="40">
        <v>51</v>
      </c>
      <c r="G178" s="20">
        <v>429000</v>
      </c>
      <c r="H178" s="22" t="s">
        <v>270</v>
      </c>
      <c r="I178" s="34" t="s">
        <v>325</v>
      </c>
      <c r="J178" s="34" t="s">
        <v>116</v>
      </c>
      <c r="K178" s="44" t="s">
        <v>326</v>
      </c>
      <c r="L178" s="32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s="32" customFormat="1" ht="63">
      <c r="A179" s="22">
        <v>178</v>
      </c>
      <c r="B179" s="23">
        <v>45190</v>
      </c>
      <c r="C179" s="98">
        <v>8809639178324</v>
      </c>
      <c r="D179" s="26" t="s">
        <v>327</v>
      </c>
      <c r="E179" s="22" t="s">
        <v>102</v>
      </c>
      <c r="F179" s="40">
        <v>65</v>
      </c>
      <c r="G179" s="20">
        <v>66000</v>
      </c>
      <c r="H179" s="22" t="s">
        <v>270</v>
      </c>
      <c r="I179" s="44" t="s">
        <v>328</v>
      </c>
      <c r="J179" s="34" t="s">
        <v>116</v>
      </c>
      <c r="K179" s="34" t="s">
        <v>329</v>
      </c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s="32" customFormat="1" ht="38.25" customHeight="1">
      <c r="A180" s="22">
        <v>179</v>
      </c>
      <c r="B180" s="23" t="s">
        <v>330</v>
      </c>
      <c r="C180" s="98">
        <v>8936233680172</v>
      </c>
      <c r="D180" s="26" t="s">
        <v>331</v>
      </c>
      <c r="E180" s="22" t="s">
        <v>102</v>
      </c>
      <c r="F180" s="40">
        <v>42</v>
      </c>
      <c r="G180" s="20">
        <v>15000</v>
      </c>
      <c r="H180" s="22" t="s">
        <v>103</v>
      </c>
      <c r="I180" s="26" t="s">
        <v>332</v>
      </c>
      <c r="J180" s="34" t="s">
        <v>278</v>
      </c>
      <c r="K180" s="25" t="s">
        <v>333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s="32" customFormat="1" ht="38.25" customHeight="1">
      <c r="A181" s="22">
        <v>180</v>
      </c>
      <c r="B181" s="23" t="s">
        <v>330</v>
      </c>
      <c r="C181" s="98">
        <v>8936233680165</v>
      </c>
      <c r="D181" s="26" t="s">
        <v>334</v>
      </c>
      <c r="E181" s="22" t="s">
        <v>102</v>
      </c>
      <c r="F181" s="40">
        <v>40</v>
      </c>
      <c r="G181" s="20">
        <v>15000</v>
      </c>
      <c r="H181" s="22" t="s">
        <v>103</v>
      </c>
      <c r="I181" s="26" t="s">
        <v>335</v>
      </c>
      <c r="J181" s="34" t="s">
        <v>278</v>
      </c>
      <c r="K181" s="25" t="s">
        <v>333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s="32" customFormat="1" ht="38.25" customHeight="1">
      <c r="A182" s="22">
        <v>181</v>
      </c>
      <c r="B182" s="23" t="s">
        <v>330</v>
      </c>
      <c r="C182" s="98">
        <v>315909712142</v>
      </c>
      <c r="D182" s="26" t="s">
        <v>336</v>
      </c>
      <c r="E182" s="22" t="s">
        <v>102</v>
      </c>
      <c r="F182" s="40">
        <v>43</v>
      </c>
      <c r="G182" s="20">
        <v>50000</v>
      </c>
      <c r="H182" s="22" t="s">
        <v>189</v>
      </c>
      <c r="I182" s="26" t="s">
        <v>232</v>
      </c>
      <c r="J182" s="26" t="s">
        <v>278</v>
      </c>
      <c r="K182" s="26" t="s">
        <v>233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s="32" customFormat="1" ht="38.25" customHeight="1">
      <c r="A183" s="22">
        <v>182</v>
      </c>
      <c r="B183" s="23" t="s">
        <v>330</v>
      </c>
      <c r="C183" s="98">
        <v>8936233680158</v>
      </c>
      <c r="D183" s="26" t="s">
        <v>337</v>
      </c>
      <c r="E183" s="22" t="s">
        <v>102</v>
      </c>
      <c r="F183" s="40">
        <v>40</v>
      </c>
      <c r="G183" s="20">
        <v>50000</v>
      </c>
      <c r="H183" s="22" t="s">
        <v>103</v>
      </c>
      <c r="I183" s="26" t="s">
        <v>338</v>
      </c>
      <c r="J183" s="26" t="s">
        <v>278</v>
      </c>
      <c r="K183" s="26" t="s">
        <v>339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s="32" customFormat="1" ht="38.25" customHeight="1">
      <c r="A184" s="22">
        <v>183</v>
      </c>
      <c r="B184" s="23">
        <v>45223</v>
      </c>
      <c r="C184" s="100">
        <v>8936233680103</v>
      </c>
      <c r="D184" s="26" t="s">
        <v>340</v>
      </c>
      <c r="E184" s="22" t="s">
        <v>178</v>
      </c>
      <c r="F184" s="40">
        <v>130</v>
      </c>
      <c r="G184" s="20">
        <v>200000</v>
      </c>
      <c r="H184" s="22" t="s">
        <v>103</v>
      </c>
      <c r="I184" s="26" t="s">
        <v>341</v>
      </c>
      <c r="J184" s="26" t="s">
        <v>278</v>
      </c>
      <c r="K184" s="26" t="s">
        <v>339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s="21" customFormat="1" ht="38.25" customHeight="1">
      <c r="A185" s="22">
        <v>184</v>
      </c>
      <c r="B185" s="23">
        <v>45234</v>
      </c>
      <c r="C185" s="100">
        <v>8809331313412</v>
      </c>
      <c r="D185" s="26" t="s">
        <v>342</v>
      </c>
      <c r="E185" s="22" t="s">
        <v>102</v>
      </c>
      <c r="F185" s="26">
        <v>46</v>
      </c>
      <c r="G185" s="20">
        <v>99000</v>
      </c>
      <c r="H185" s="22" t="s">
        <v>103</v>
      </c>
      <c r="I185" s="26" t="s">
        <v>273</v>
      </c>
      <c r="J185" s="26" t="s">
        <v>116</v>
      </c>
      <c r="K185" s="25" t="s">
        <v>274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s="21" customFormat="1" ht="38.25" customHeight="1">
      <c r="A186" s="22">
        <v>185</v>
      </c>
      <c r="B186" s="23">
        <v>45234</v>
      </c>
      <c r="C186" s="100">
        <v>8809864758926</v>
      </c>
      <c r="D186" s="26" t="s">
        <v>343</v>
      </c>
      <c r="E186" s="22" t="s">
        <v>102</v>
      </c>
      <c r="F186" s="40">
        <v>26</v>
      </c>
      <c r="G186" s="20">
        <v>219000</v>
      </c>
      <c r="H186" s="22" t="s">
        <v>103</v>
      </c>
      <c r="I186" s="26"/>
      <c r="J186" s="26" t="s">
        <v>109</v>
      </c>
      <c r="K186" s="26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s="21" customFormat="1" ht="38.25" customHeight="1">
      <c r="A187" s="22">
        <v>186</v>
      </c>
      <c r="B187" s="23">
        <v>45234</v>
      </c>
      <c r="C187" s="100">
        <v>8809954940958</v>
      </c>
      <c r="D187" s="26" t="s">
        <v>344</v>
      </c>
      <c r="E187" s="22" t="s">
        <v>102</v>
      </c>
      <c r="F187" s="40">
        <v>11</v>
      </c>
      <c r="G187" s="20">
        <v>189000</v>
      </c>
      <c r="H187" s="22" t="s">
        <v>103</v>
      </c>
      <c r="I187" s="26"/>
      <c r="J187" s="26" t="s">
        <v>109</v>
      </c>
      <c r="K187" s="26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s="21" customFormat="1" ht="38.25" customHeight="1">
      <c r="A188" s="22">
        <v>187</v>
      </c>
      <c r="B188" s="23">
        <v>45234</v>
      </c>
      <c r="C188" s="100">
        <v>8809672511799</v>
      </c>
      <c r="D188" s="26" t="s">
        <v>345</v>
      </c>
      <c r="E188" s="22" t="s">
        <v>102</v>
      </c>
      <c r="F188" s="40">
        <v>9</v>
      </c>
      <c r="G188" s="20">
        <v>125000</v>
      </c>
      <c r="H188" s="22" t="s">
        <v>103</v>
      </c>
      <c r="I188" s="26" t="s">
        <v>273</v>
      </c>
      <c r="J188" s="26" t="s">
        <v>116</v>
      </c>
      <c r="K188" s="25" t="s">
        <v>274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s="21" customFormat="1" ht="38.25" customHeight="1">
      <c r="A189" s="22">
        <v>188</v>
      </c>
      <c r="B189" s="23">
        <v>45234</v>
      </c>
      <c r="C189" s="100">
        <v>8809672511805</v>
      </c>
      <c r="D189" s="26" t="s">
        <v>346</v>
      </c>
      <c r="E189" s="22" t="s">
        <v>102</v>
      </c>
      <c r="F189" s="40">
        <v>9</v>
      </c>
      <c r="G189" s="20">
        <v>125000</v>
      </c>
      <c r="H189" s="22" t="s">
        <v>103</v>
      </c>
      <c r="I189" s="26" t="s">
        <v>273</v>
      </c>
      <c r="J189" s="26" t="s">
        <v>116</v>
      </c>
      <c r="K189" s="25" t="s">
        <v>274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s="21" customFormat="1" ht="38.25" customHeight="1">
      <c r="A190" s="22">
        <v>189</v>
      </c>
      <c r="B190" s="45">
        <v>45246</v>
      </c>
      <c r="C190" s="100">
        <v>8809268159350</v>
      </c>
      <c r="D190" s="26" t="s">
        <v>89</v>
      </c>
      <c r="E190" s="22" t="s">
        <v>102</v>
      </c>
      <c r="F190" s="40">
        <v>125</v>
      </c>
      <c r="G190" s="20">
        <v>295000</v>
      </c>
      <c r="H190" s="22" t="s">
        <v>103</v>
      </c>
      <c r="I190" s="26"/>
      <c r="J190" s="26" t="s">
        <v>109</v>
      </c>
      <c r="K190" s="26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s="21" customFormat="1" ht="38.25" customHeight="1">
      <c r="A191" s="22">
        <v>190</v>
      </c>
      <c r="B191" s="45">
        <v>45246</v>
      </c>
      <c r="C191" s="100">
        <v>8809268159367</v>
      </c>
      <c r="D191" s="26" t="s">
        <v>347</v>
      </c>
      <c r="E191" s="22" t="s">
        <v>102</v>
      </c>
      <c r="F191" s="40">
        <v>125</v>
      </c>
      <c r="G191" s="20">
        <v>295000</v>
      </c>
      <c r="H191" s="22" t="s">
        <v>103</v>
      </c>
      <c r="I191" s="26"/>
      <c r="J191" s="26" t="s">
        <v>109</v>
      </c>
      <c r="K191" s="26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s="21" customFormat="1" ht="38.25" customHeight="1">
      <c r="A192" s="22">
        <v>191</v>
      </c>
      <c r="B192" s="45">
        <v>45246</v>
      </c>
      <c r="C192" s="100">
        <v>8809268159374</v>
      </c>
      <c r="D192" s="26" t="s">
        <v>348</v>
      </c>
      <c r="E192" s="22" t="s">
        <v>102</v>
      </c>
      <c r="F192" s="40">
        <v>125</v>
      </c>
      <c r="G192" s="20">
        <v>295000</v>
      </c>
      <c r="H192" s="22" t="s">
        <v>103</v>
      </c>
      <c r="I192" s="26"/>
      <c r="J192" s="26" t="s">
        <v>109</v>
      </c>
      <c r="K192" s="26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s="21" customFormat="1" ht="38.25" customHeight="1">
      <c r="A193" s="22">
        <v>192</v>
      </c>
      <c r="B193" s="45">
        <v>45246</v>
      </c>
      <c r="C193" s="100">
        <v>8809268159381</v>
      </c>
      <c r="D193" s="26" t="s">
        <v>349</v>
      </c>
      <c r="E193" s="22" t="s">
        <v>102</v>
      </c>
      <c r="F193" s="40">
        <v>125</v>
      </c>
      <c r="G193" s="20">
        <v>295000</v>
      </c>
      <c r="H193" s="22" t="s">
        <v>103</v>
      </c>
      <c r="I193" s="26"/>
      <c r="J193" s="26" t="s">
        <v>109</v>
      </c>
      <c r="K193" s="26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s="32" customFormat="1" ht="38.25" customHeight="1">
      <c r="A194" s="22">
        <v>193</v>
      </c>
      <c r="B194" s="45">
        <v>45253</v>
      </c>
      <c r="C194" s="100">
        <v>8809268159404</v>
      </c>
      <c r="D194" s="26" t="s">
        <v>350</v>
      </c>
      <c r="E194" s="22" t="s">
        <v>102</v>
      </c>
      <c r="F194" s="40">
        <v>25</v>
      </c>
      <c r="G194" s="20">
        <v>42000</v>
      </c>
      <c r="H194" s="22" t="s">
        <v>103</v>
      </c>
      <c r="I194" s="26" t="s">
        <v>351</v>
      </c>
      <c r="J194" s="26" t="s">
        <v>278</v>
      </c>
      <c r="K194" s="25" t="s">
        <v>279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s="32" customFormat="1" ht="38.25" customHeight="1">
      <c r="A195" s="22">
        <v>194</v>
      </c>
      <c r="B195" s="23">
        <v>44934</v>
      </c>
      <c r="C195" s="100">
        <v>8809864750937</v>
      </c>
      <c r="D195" s="26" t="s">
        <v>352</v>
      </c>
      <c r="E195" s="22" t="s">
        <v>102</v>
      </c>
      <c r="F195" s="40">
        <v>45</v>
      </c>
      <c r="G195" s="20">
        <v>250000</v>
      </c>
      <c r="H195" s="22" t="s">
        <v>103</v>
      </c>
      <c r="I195" s="26" t="s">
        <v>271</v>
      </c>
      <c r="J195" s="26" t="s">
        <v>109</v>
      </c>
      <c r="K195" s="26" t="s">
        <v>110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s="32" customFormat="1" ht="38.25" customHeight="1">
      <c r="A196" s="22">
        <v>195</v>
      </c>
      <c r="B196" s="23">
        <v>44934</v>
      </c>
      <c r="C196" s="100">
        <v>8809864750944</v>
      </c>
      <c r="D196" s="26" t="s">
        <v>353</v>
      </c>
      <c r="E196" s="22" t="s">
        <v>102</v>
      </c>
      <c r="F196" s="40">
        <v>45</v>
      </c>
      <c r="G196" s="20">
        <v>250000</v>
      </c>
      <c r="H196" s="22" t="s">
        <v>103</v>
      </c>
      <c r="I196" s="26" t="s">
        <v>271</v>
      </c>
      <c r="J196" s="26" t="s">
        <v>109</v>
      </c>
      <c r="K196" s="26" t="s">
        <v>110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s="32" customFormat="1" ht="38.25" customHeight="1">
      <c r="A197" s="22">
        <v>196</v>
      </c>
      <c r="B197" s="23" t="s">
        <v>354</v>
      </c>
      <c r="C197" s="100">
        <v>8809820740095</v>
      </c>
      <c r="D197" s="44" t="s">
        <v>355</v>
      </c>
      <c r="E197" s="22" t="s">
        <v>102</v>
      </c>
      <c r="F197" s="40">
        <v>26</v>
      </c>
      <c r="G197" s="20">
        <v>295000</v>
      </c>
      <c r="H197" s="22" t="s">
        <v>103</v>
      </c>
      <c r="I197" s="26"/>
      <c r="J197" s="26" t="s">
        <v>109</v>
      </c>
      <c r="K197" s="46" t="s">
        <v>356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s="32" customFormat="1" ht="38.25" customHeight="1">
      <c r="A198" s="22">
        <v>197</v>
      </c>
      <c r="B198" s="23" t="s">
        <v>354</v>
      </c>
      <c r="C198" s="100">
        <v>8809820740101</v>
      </c>
      <c r="D198" s="44" t="s">
        <v>357</v>
      </c>
      <c r="E198" s="22" t="s">
        <v>102</v>
      </c>
      <c r="F198" s="40">
        <v>26</v>
      </c>
      <c r="G198" s="20">
        <v>255000</v>
      </c>
      <c r="H198" s="22" t="s">
        <v>103</v>
      </c>
      <c r="I198" s="26" t="s">
        <v>358</v>
      </c>
      <c r="J198" s="26" t="s">
        <v>109</v>
      </c>
      <c r="K198" s="46" t="s">
        <v>359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s="32" customFormat="1" ht="38.25" customHeight="1">
      <c r="A199" s="22">
        <v>198</v>
      </c>
      <c r="B199" s="23" t="s">
        <v>354</v>
      </c>
      <c r="C199" s="100">
        <v>8809820740071</v>
      </c>
      <c r="D199" s="44" t="s">
        <v>360</v>
      </c>
      <c r="E199" s="22" t="s">
        <v>102</v>
      </c>
      <c r="F199" s="40">
        <v>26</v>
      </c>
      <c r="G199" s="20">
        <v>295000</v>
      </c>
      <c r="H199" s="22" t="s">
        <v>103</v>
      </c>
      <c r="I199" s="26"/>
      <c r="J199" s="26" t="s">
        <v>109</v>
      </c>
      <c r="K199" s="46" t="s">
        <v>356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s="32" customFormat="1" ht="38.25" customHeight="1">
      <c r="A200" s="22">
        <v>199</v>
      </c>
      <c r="B200" s="23" t="s">
        <v>354</v>
      </c>
      <c r="C200" s="100">
        <v>8809820740088</v>
      </c>
      <c r="D200" s="44" t="s">
        <v>361</v>
      </c>
      <c r="E200" s="22" t="s">
        <v>102</v>
      </c>
      <c r="F200" s="40">
        <v>26</v>
      </c>
      <c r="G200" s="20">
        <v>255000</v>
      </c>
      <c r="H200" s="22" t="s">
        <v>103</v>
      </c>
      <c r="I200" s="26" t="s">
        <v>358</v>
      </c>
      <c r="J200" s="26" t="s">
        <v>109</v>
      </c>
      <c r="K200" s="46" t="s">
        <v>359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s="32" customFormat="1" ht="38.25" customHeight="1">
      <c r="A201" s="22">
        <v>200</v>
      </c>
      <c r="B201" s="23" t="s">
        <v>354</v>
      </c>
      <c r="C201" s="100">
        <v>8809820740651</v>
      </c>
      <c r="D201" s="44" t="s">
        <v>362</v>
      </c>
      <c r="E201" s="22" t="s">
        <v>102</v>
      </c>
      <c r="F201" s="40">
        <v>15</v>
      </c>
      <c r="G201" s="20">
        <v>220000</v>
      </c>
      <c r="H201" s="22" t="s">
        <v>103</v>
      </c>
      <c r="I201" s="26"/>
      <c r="J201" s="26" t="s">
        <v>109</v>
      </c>
      <c r="K201" s="46" t="s">
        <v>356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s="32" customFormat="1" ht="38.25" customHeight="1">
      <c r="A202" s="22">
        <v>201</v>
      </c>
      <c r="B202" s="23" t="s">
        <v>354</v>
      </c>
      <c r="C202" s="100">
        <v>8809820740668</v>
      </c>
      <c r="D202" s="44" t="s">
        <v>363</v>
      </c>
      <c r="E202" s="22" t="s">
        <v>102</v>
      </c>
      <c r="F202" s="40">
        <v>15</v>
      </c>
      <c r="G202" s="20">
        <v>220000</v>
      </c>
      <c r="H202" s="22" t="s">
        <v>103</v>
      </c>
      <c r="I202" s="26"/>
      <c r="J202" s="26" t="s">
        <v>109</v>
      </c>
      <c r="K202" s="46" t="s">
        <v>356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s="32" customFormat="1" ht="38.25" customHeight="1">
      <c r="A203" s="22">
        <v>202</v>
      </c>
      <c r="B203" s="23" t="s">
        <v>354</v>
      </c>
      <c r="C203" s="100">
        <v>8809820740675</v>
      </c>
      <c r="D203" s="44" t="s">
        <v>364</v>
      </c>
      <c r="E203" s="22" t="s">
        <v>102</v>
      </c>
      <c r="F203" s="40">
        <v>15</v>
      </c>
      <c r="G203" s="20">
        <v>220000</v>
      </c>
      <c r="H203" s="22" t="s">
        <v>103</v>
      </c>
      <c r="I203" s="26"/>
      <c r="J203" s="26" t="s">
        <v>109</v>
      </c>
      <c r="K203" s="46" t="s">
        <v>356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s="32" customFormat="1" ht="38.25" customHeight="1">
      <c r="A204" s="22">
        <v>203</v>
      </c>
      <c r="B204" s="23" t="s">
        <v>354</v>
      </c>
      <c r="C204" s="100">
        <v>8809820740286</v>
      </c>
      <c r="D204" s="26" t="s">
        <v>365</v>
      </c>
      <c r="E204" s="22" t="s">
        <v>102</v>
      </c>
      <c r="F204" s="40">
        <v>53</v>
      </c>
      <c r="G204" s="20">
        <v>225000</v>
      </c>
      <c r="H204" s="22" t="s">
        <v>103</v>
      </c>
      <c r="I204" s="34" t="s">
        <v>366</v>
      </c>
      <c r="J204" s="26" t="s">
        <v>109</v>
      </c>
      <c r="K204" s="34" t="s">
        <v>245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s="32" customFormat="1" ht="38.25" customHeight="1">
      <c r="A205" s="22">
        <v>204</v>
      </c>
      <c r="B205" s="23" t="s">
        <v>354</v>
      </c>
      <c r="C205" s="100">
        <v>8809820740293</v>
      </c>
      <c r="D205" s="26" t="s">
        <v>367</v>
      </c>
      <c r="E205" s="22" t="s">
        <v>102</v>
      </c>
      <c r="F205" s="40">
        <v>53</v>
      </c>
      <c r="G205" s="20">
        <v>225000</v>
      </c>
      <c r="H205" s="22" t="s">
        <v>103</v>
      </c>
      <c r="I205" s="34" t="s">
        <v>366</v>
      </c>
      <c r="J205" s="26" t="s">
        <v>109</v>
      </c>
      <c r="K205" s="34" t="s">
        <v>245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s="32" customFormat="1" ht="38.25" customHeight="1">
      <c r="A206" s="22">
        <v>205</v>
      </c>
      <c r="B206" s="23" t="s">
        <v>354</v>
      </c>
      <c r="C206" s="100">
        <v>8809820740316</v>
      </c>
      <c r="D206" s="26" t="s">
        <v>368</v>
      </c>
      <c r="E206" s="22" t="s">
        <v>102</v>
      </c>
      <c r="F206" s="40">
        <v>53</v>
      </c>
      <c r="G206" s="20">
        <v>225000</v>
      </c>
      <c r="H206" s="22" t="s">
        <v>103</v>
      </c>
      <c r="I206" s="34" t="s">
        <v>366</v>
      </c>
      <c r="J206" s="26" t="s">
        <v>109</v>
      </c>
      <c r="K206" s="34" t="s">
        <v>245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s="32" customFormat="1" ht="38.25" customHeight="1">
      <c r="A207" s="22">
        <v>206</v>
      </c>
      <c r="B207" s="23" t="s">
        <v>354</v>
      </c>
      <c r="C207" s="100">
        <v>8809820740941</v>
      </c>
      <c r="D207" s="26" t="s">
        <v>369</v>
      </c>
      <c r="E207" s="22" t="s">
        <v>102</v>
      </c>
      <c r="F207" s="40">
        <v>53</v>
      </c>
      <c r="G207" s="20">
        <v>225000</v>
      </c>
      <c r="H207" s="22" t="s">
        <v>103</v>
      </c>
      <c r="I207" s="34" t="s">
        <v>366</v>
      </c>
      <c r="J207" s="26" t="s">
        <v>109</v>
      </c>
      <c r="K207" s="34" t="s">
        <v>245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s="32" customFormat="1" ht="38.25" customHeight="1">
      <c r="A208" s="22">
        <v>207</v>
      </c>
      <c r="B208" s="23" t="s">
        <v>354</v>
      </c>
      <c r="C208" s="100">
        <v>8809820740972</v>
      </c>
      <c r="D208" s="26" t="s">
        <v>370</v>
      </c>
      <c r="E208" s="22" t="s">
        <v>102</v>
      </c>
      <c r="F208" s="40">
        <v>53</v>
      </c>
      <c r="G208" s="20">
        <v>225000</v>
      </c>
      <c r="H208" s="22" t="s">
        <v>103</v>
      </c>
      <c r="I208" s="34" t="s">
        <v>366</v>
      </c>
      <c r="J208" s="26" t="s">
        <v>109</v>
      </c>
      <c r="K208" s="34" t="s">
        <v>245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s="32" customFormat="1" ht="38.25" customHeight="1">
      <c r="A209" s="22">
        <v>208</v>
      </c>
      <c r="B209" s="23" t="s">
        <v>354</v>
      </c>
      <c r="C209" s="100">
        <v>8809820740842</v>
      </c>
      <c r="D209" s="26" t="s">
        <v>371</v>
      </c>
      <c r="E209" s="22" t="s">
        <v>102</v>
      </c>
      <c r="F209" s="40">
        <v>36.5</v>
      </c>
      <c r="G209" s="20">
        <v>215000</v>
      </c>
      <c r="H209" s="22" t="s">
        <v>103</v>
      </c>
      <c r="I209" s="34" t="s">
        <v>372</v>
      </c>
      <c r="J209" s="26" t="s">
        <v>109</v>
      </c>
      <c r="K209" s="34" t="s">
        <v>245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s="32" customFormat="1" ht="38.25" customHeight="1">
      <c r="A210" s="22">
        <v>209</v>
      </c>
      <c r="B210" s="23" t="s">
        <v>354</v>
      </c>
      <c r="C210" s="100">
        <v>8809820740859</v>
      </c>
      <c r="D210" s="26" t="s">
        <v>373</v>
      </c>
      <c r="E210" s="22" t="s">
        <v>102</v>
      </c>
      <c r="F210" s="40">
        <v>36.5</v>
      </c>
      <c r="G210" s="20">
        <v>215000</v>
      </c>
      <c r="H210" s="22" t="s">
        <v>103</v>
      </c>
      <c r="I210" s="34" t="s">
        <v>372</v>
      </c>
      <c r="J210" s="26" t="s">
        <v>109</v>
      </c>
      <c r="K210" s="34" t="s">
        <v>245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s="32" customFormat="1" ht="38.25" customHeight="1">
      <c r="A211" s="22">
        <v>210</v>
      </c>
      <c r="B211" s="23" t="s">
        <v>354</v>
      </c>
      <c r="C211" s="100">
        <v>8809820740866</v>
      </c>
      <c r="D211" s="26" t="s">
        <v>374</v>
      </c>
      <c r="E211" s="22" t="s">
        <v>102</v>
      </c>
      <c r="F211" s="40">
        <v>36.5</v>
      </c>
      <c r="G211" s="20">
        <v>215000</v>
      </c>
      <c r="H211" s="22" t="s">
        <v>103</v>
      </c>
      <c r="I211" s="34" t="s">
        <v>372</v>
      </c>
      <c r="J211" s="26" t="s">
        <v>109</v>
      </c>
      <c r="K211" s="34" t="s">
        <v>245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s="32" customFormat="1" ht="38.25" customHeight="1">
      <c r="A212" s="22">
        <v>211</v>
      </c>
      <c r="B212" s="23" t="s">
        <v>354</v>
      </c>
      <c r="C212" s="100">
        <v>8809820740873</v>
      </c>
      <c r="D212" s="26" t="s">
        <v>375</v>
      </c>
      <c r="E212" s="22" t="s">
        <v>102</v>
      </c>
      <c r="F212" s="40">
        <v>36.5</v>
      </c>
      <c r="G212" s="20">
        <v>215000</v>
      </c>
      <c r="H212" s="22" t="s">
        <v>103</v>
      </c>
      <c r="I212" s="34" t="s">
        <v>372</v>
      </c>
      <c r="J212" s="26" t="s">
        <v>109</v>
      </c>
      <c r="K212" s="34" t="s">
        <v>245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38.25" customHeight="1">
      <c r="A213" s="22">
        <v>212</v>
      </c>
      <c r="B213" s="23">
        <v>45421</v>
      </c>
      <c r="C213" s="100">
        <v>8809820741368</v>
      </c>
      <c r="D213" s="26" t="s">
        <v>376</v>
      </c>
      <c r="E213" s="22" t="s">
        <v>178</v>
      </c>
      <c r="F213" s="40">
        <v>16</v>
      </c>
      <c r="G213" s="20">
        <v>110000</v>
      </c>
      <c r="H213" s="22" t="s">
        <v>103</v>
      </c>
      <c r="I213" s="26" t="s">
        <v>377</v>
      </c>
      <c r="J213" s="26" t="s">
        <v>278</v>
      </c>
      <c r="K213" s="26" t="s">
        <v>378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s="47" customFormat="1" ht="15.75">
      <c r="A214" s="22">
        <v>213</v>
      </c>
      <c r="B214" s="23">
        <v>45421</v>
      </c>
      <c r="C214" s="100">
        <v>8936233680141</v>
      </c>
      <c r="D214" s="26" t="s">
        <v>379</v>
      </c>
      <c r="E214" s="22" t="s">
        <v>178</v>
      </c>
      <c r="F214" s="40">
        <v>13</v>
      </c>
      <c r="G214" s="20">
        <v>110000</v>
      </c>
      <c r="H214" s="22" t="s">
        <v>103</v>
      </c>
      <c r="I214" s="26" t="s">
        <v>380</v>
      </c>
      <c r="J214" s="34" t="s">
        <v>278</v>
      </c>
      <c r="K214" s="26" t="s">
        <v>381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s="47" customFormat="1" ht="38.25" customHeight="1">
      <c r="A215" s="22">
        <v>214</v>
      </c>
      <c r="B215" s="23">
        <v>45421</v>
      </c>
      <c r="C215" s="100">
        <v>8936233680042</v>
      </c>
      <c r="D215" s="26" t="s">
        <v>382</v>
      </c>
      <c r="E215" s="22" t="s">
        <v>178</v>
      </c>
      <c r="F215" s="40">
        <v>65</v>
      </c>
      <c r="G215" s="20">
        <v>25000</v>
      </c>
      <c r="H215" s="22" t="s">
        <v>103</v>
      </c>
      <c r="I215" s="34"/>
      <c r="J215" s="34" t="s">
        <v>278</v>
      </c>
      <c r="K215" s="34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s="47" customFormat="1" ht="44.25" customHeight="1">
      <c r="A216" s="22">
        <v>215</v>
      </c>
      <c r="B216" s="23">
        <v>45437</v>
      </c>
      <c r="C216" s="100">
        <v>8936233680134</v>
      </c>
      <c r="D216" s="26" t="s">
        <v>383</v>
      </c>
      <c r="E216" s="22" t="s">
        <v>178</v>
      </c>
      <c r="F216" s="40">
        <v>184</v>
      </c>
      <c r="G216" s="20">
        <v>60000</v>
      </c>
      <c r="H216" s="22" t="s">
        <v>103</v>
      </c>
      <c r="I216" s="26" t="s">
        <v>384</v>
      </c>
      <c r="J216" s="34" t="s">
        <v>278</v>
      </c>
      <c r="K216" s="48" t="s">
        <v>385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s="47" customFormat="1" ht="38.25" customHeight="1">
      <c r="A217" s="22">
        <v>216</v>
      </c>
      <c r="B217" s="23">
        <v>45460</v>
      </c>
      <c r="C217" s="100">
        <v>8809268159398</v>
      </c>
      <c r="D217" s="26" t="s">
        <v>386</v>
      </c>
      <c r="E217" s="22" t="s">
        <v>102</v>
      </c>
      <c r="F217" s="40">
        <v>25</v>
      </c>
      <c r="G217" s="20">
        <v>42000</v>
      </c>
      <c r="H217" s="22" t="s">
        <v>103</v>
      </c>
      <c r="I217" s="26" t="s">
        <v>387</v>
      </c>
      <c r="J217" s="26" t="s">
        <v>278</v>
      </c>
      <c r="K217" s="26" t="s">
        <v>388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s="47" customFormat="1" ht="38.25" customHeight="1">
      <c r="A218" s="22">
        <v>217</v>
      </c>
      <c r="B218" s="23">
        <v>45488</v>
      </c>
      <c r="C218" s="100">
        <v>8936233680127</v>
      </c>
      <c r="D218" s="26" t="s">
        <v>389</v>
      </c>
      <c r="E218" s="22" t="s">
        <v>102</v>
      </c>
      <c r="F218" s="40">
        <v>18</v>
      </c>
      <c r="G218" s="20">
        <v>5000</v>
      </c>
      <c r="H218" s="22" t="s">
        <v>103</v>
      </c>
      <c r="I218" s="26" t="s">
        <v>390</v>
      </c>
      <c r="J218" s="26" t="s">
        <v>278</v>
      </c>
      <c r="K218" s="26" t="s">
        <v>311</v>
      </c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s="47" customFormat="1" ht="38.25" customHeight="1">
      <c r="A219" s="22">
        <v>218</v>
      </c>
      <c r="B219" s="23">
        <v>45488</v>
      </c>
      <c r="C219" s="100">
        <v>8936233680110</v>
      </c>
      <c r="D219" s="26" t="s">
        <v>391</v>
      </c>
      <c r="E219" s="22" t="s">
        <v>178</v>
      </c>
      <c r="F219" s="40" t="s">
        <v>392</v>
      </c>
      <c r="G219" s="20">
        <v>5000</v>
      </c>
      <c r="H219" s="22" t="s">
        <v>103</v>
      </c>
      <c r="I219" s="26" t="s">
        <v>393</v>
      </c>
      <c r="J219" s="26" t="s">
        <v>278</v>
      </c>
      <c r="K219" s="26" t="s">
        <v>311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s="47" customFormat="1" ht="38.25" customHeight="1">
      <c r="A220" s="49">
        <v>219</v>
      </c>
      <c r="B220" s="50">
        <v>45546</v>
      </c>
      <c r="C220" s="102">
        <v>8809971485210</v>
      </c>
      <c r="D220" s="51" t="s">
        <v>394</v>
      </c>
      <c r="E220" s="52" t="s">
        <v>102</v>
      </c>
      <c r="F220" s="53">
        <v>125</v>
      </c>
      <c r="G220" s="54">
        <v>425000</v>
      </c>
      <c r="H220" s="49" t="s">
        <v>103</v>
      </c>
      <c r="I220" s="55" t="s">
        <v>395</v>
      </c>
      <c r="J220" s="55" t="s">
        <v>109</v>
      </c>
      <c r="K220" s="55" t="s">
        <v>396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s="47" customFormat="1" ht="38.25" customHeight="1">
      <c r="A221" s="49">
        <v>220</v>
      </c>
      <c r="B221" s="50">
        <v>45546</v>
      </c>
      <c r="C221" s="102">
        <v>8809971485227</v>
      </c>
      <c r="D221" s="51" t="s">
        <v>397</v>
      </c>
      <c r="E221" s="52" t="s">
        <v>102</v>
      </c>
      <c r="F221" s="56">
        <v>125</v>
      </c>
      <c r="G221" s="54">
        <v>425000</v>
      </c>
      <c r="H221" s="49" t="s">
        <v>103</v>
      </c>
      <c r="I221" s="55" t="s">
        <v>395</v>
      </c>
      <c r="J221" s="55" t="s">
        <v>109</v>
      </c>
      <c r="K221" s="55" t="s">
        <v>396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s="47" customFormat="1" ht="38.25" customHeight="1">
      <c r="A222" s="22">
        <v>221</v>
      </c>
      <c r="B222" s="57">
        <v>45576</v>
      </c>
      <c r="C222" s="99">
        <v>8809545436532</v>
      </c>
      <c r="D222" s="46" t="s">
        <v>398</v>
      </c>
      <c r="E222" s="22" t="s">
        <v>102</v>
      </c>
      <c r="F222" s="26">
        <v>137</v>
      </c>
      <c r="G222" s="20">
        <v>990000</v>
      </c>
      <c r="H222" s="22" t="s">
        <v>103</v>
      </c>
      <c r="I222" s="26" t="s">
        <v>399</v>
      </c>
      <c r="J222" s="26" t="s">
        <v>109</v>
      </c>
      <c r="K222" s="26" t="s">
        <v>110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38.25" customHeight="1">
      <c r="A223" s="22">
        <v>222</v>
      </c>
      <c r="B223" s="57">
        <v>45576</v>
      </c>
      <c r="C223" s="103" t="s">
        <v>400</v>
      </c>
      <c r="D223" s="46" t="s">
        <v>401</v>
      </c>
      <c r="E223" s="22" t="s">
        <v>160</v>
      </c>
      <c r="F223" s="26">
        <v>4</v>
      </c>
      <c r="G223" s="20">
        <v>7000</v>
      </c>
      <c r="H223" s="22" t="s">
        <v>103</v>
      </c>
      <c r="I223" s="26"/>
      <c r="J223" s="26" t="s">
        <v>278</v>
      </c>
      <c r="K223" s="26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ht="38.25" customHeight="1">
      <c r="A224" s="22">
        <v>223</v>
      </c>
      <c r="B224" s="57">
        <v>45584</v>
      </c>
      <c r="C224" s="103">
        <v>8809971486477</v>
      </c>
      <c r="D224" s="46" t="s">
        <v>402</v>
      </c>
      <c r="E224" s="58" t="s">
        <v>102</v>
      </c>
      <c r="F224" s="26">
        <v>42</v>
      </c>
      <c r="G224" s="20">
        <v>175000</v>
      </c>
      <c r="H224" s="22" t="s">
        <v>103</v>
      </c>
      <c r="I224" s="26"/>
      <c r="J224" s="26" t="s">
        <v>116</v>
      </c>
      <c r="K224" s="26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ht="38.25" customHeight="1">
      <c r="A225" s="22">
        <v>224</v>
      </c>
      <c r="B225" s="57">
        <v>45584</v>
      </c>
      <c r="C225" s="103">
        <v>8809971486484</v>
      </c>
      <c r="D225" s="46" t="s">
        <v>403</v>
      </c>
      <c r="E225" s="58" t="s">
        <v>102</v>
      </c>
      <c r="F225" s="26">
        <v>42</v>
      </c>
      <c r="G225" s="20">
        <v>175000</v>
      </c>
      <c r="H225" s="22" t="s">
        <v>103</v>
      </c>
      <c r="I225" s="26"/>
      <c r="J225" s="26" t="s">
        <v>116</v>
      </c>
      <c r="K225" s="26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ht="38.25" customHeight="1">
      <c r="A226" s="22">
        <v>225</v>
      </c>
      <c r="B226" s="57">
        <v>45593</v>
      </c>
      <c r="C226" s="103">
        <v>8809820740170</v>
      </c>
      <c r="D226" s="59" t="s">
        <v>404</v>
      </c>
      <c r="E226" s="58" t="s">
        <v>102</v>
      </c>
      <c r="F226" s="60">
        <v>110</v>
      </c>
      <c r="G226" s="20">
        <v>495000</v>
      </c>
      <c r="H226" s="22" t="s">
        <v>103</v>
      </c>
      <c r="I226" s="26"/>
      <c r="J226" s="26" t="s">
        <v>109</v>
      </c>
      <c r="K226" s="26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ht="38.25" customHeight="1">
      <c r="A227" s="22">
        <v>226</v>
      </c>
      <c r="B227" s="57">
        <v>45593</v>
      </c>
      <c r="C227" s="103">
        <v>8809820740262</v>
      </c>
      <c r="D227" s="59" t="s">
        <v>405</v>
      </c>
      <c r="E227" s="58" t="s">
        <v>102</v>
      </c>
      <c r="F227" s="60">
        <v>110</v>
      </c>
      <c r="G227" s="20">
        <v>495000</v>
      </c>
      <c r="H227" s="22" t="s">
        <v>103</v>
      </c>
      <c r="I227" s="26"/>
      <c r="J227" s="26" t="s">
        <v>109</v>
      </c>
      <c r="K227" s="26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ht="38.25" customHeight="1">
      <c r="A228" s="22">
        <v>227</v>
      </c>
      <c r="B228" s="57">
        <v>45593</v>
      </c>
      <c r="C228" s="103">
        <v>8809820740279</v>
      </c>
      <c r="D228" s="59" t="s">
        <v>406</v>
      </c>
      <c r="E228" s="58" t="s">
        <v>102</v>
      </c>
      <c r="F228" s="60">
        <v>110</v>
      </c>
      <c r="G228" s="20">
        <v>495000</v>
      </c>
      <c r="H228" s="22" t="s">
        <v>103</v>
      </c>
      <c r="I228" s="26"/>
      <c r="J228" s="26" t="s">
        <v>109</v>
      </c>
      <c r="K228" s="26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ht="38.25" customHeight="1">
      <c r="A229" s="22">
        <v>228</v>
      </c>
      <c r="B229" s="57">
        <v>45593</v>
      </c>
      <c r="C229" s="103">
        <v>8809820741122</v>
      </c>
      <c r="D229" s="59" t="s">
        <v>407</v>
      </c>
      <c r="E229" s="58" t="s">
        <v>102</v>
      </c>
      <c r="F229" s="60">
        <v>110</v>
      </c>
      <c r="G229" s="20">
        <v>495000</v>
      </c>
      <c r="H229" s="22" t="s">
        <v>103</v>
      </c>
      <c r="I229" s="26"/>
      <c r="J229" s="26" t="s">
        <v>109</v>
      </c>
      <c r="K229" s="26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ht="38.25" customHeight="1">
      <c r="A230" s="22">
        <v>229</v>
      </c>
      <c r="B230" s="57">
        <v>45593</v>
      </c>
      <c r="C230" s="103">
        <v>8809820740910</v>
      </c>
      <c r="D230" s="59" t="s">
        <v>408</v>
      </c>
      <c r="E230" s="58" t="s">
        <v>102</v>
      </c>
      <c r="F230" s="60">
        <v>16</v>
      </c>
      <c r="G230" s="20">
        <v>8000</v>
      </c>
      <c r="H230" s="22" t="s">
        <v>103</v>
      </c>
      <c r="I230" s="26"/>
      <c r="J230" s="26" t="s">
        <v>278</v>
      </c>
      <c r="K230" s="26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ht="38.25" customHeight="1">
      <c r="A231" s="22">
        <v>230</v>
      </c>
      <c r="B231" s="57">
        <v>45593</v>
      </c>
      <c r="C231" s="103">
        <v>8809820741276</v>
      </c>
      <c r="D231" s="46" t="s">
        <v>409</v>
      </c>
      <c r="E231" s="58" t="s">
        <v>178</v>
      </c>
      <c r="F231" s="60">
        <v>45</v>
      </c>
      <c r="G231" s="20">
        <v>12000</v>
      </c>
      <c r="H231" s="22" t="s">
        <v>103</v>
      </c>
      <c r="I231" s="26"/>
      <c r="J231" s="26" t="s">
        <v>278</v>
      </c>
      <c r="K231" s="26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ht="38.25" customHeight="1">
      <c r="A232" s="22">
        <v>231</v>
      </c>
      <c r="B232" s="57">
        <v>45593</v>
      </c>
      <c r="C232" s="103">
        <v>8809820741344</v>
      </c>
      <c r="D232" s="46" t="s">
        <v>410</v>
      </c>
      <c r="E232" s="58" t="s">
        <v>178</v>
      </c>
      <c r="F232" s="60">
        <v>7.5</v>
      </c>
      <c r="G232" s="20">
        <v>12000</v>
      </c>
      <c r="H232" s="22" t="s">
        <v>103</v>
      </c>
      <c r="I232" s="26"/>
      <c r="J232" s="26" t="s">
        <v>278</v>
      </c>
      <c r="K232" s="26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ht="38.25" customHeight="1">
      <c r="A233" s="22">
        <v>232</v>
      </c>
      <c r="B233" s="57">
        <v>45593</v>
      </c>
      <c r="C233" s="103">
        <v>8809820741627</v>
      </c>
      <c r="D233" s="46" t="s">
        <v>411</v>
      </c>
      <c r="E233" s="58" t="s">
        <v>178</v>
      </c>
      <c r="F233" s="61">
        <v>110</v>
      </c>
      <c r="G233" s="20">
        <v>12000</v>
      </c>
      <c r="H233" s="22" t="s">
        <v>103</v>
      </c>
      <c r="I233" s="26"/>
      <c r="J233" s="26" t="s">
        <v>278</v>
      </c>
      <c r="K233" s="26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s="47" customFormat="1" ht="38.25" customHeight="1">
      <c r="A234" s="22">
        <v>233</v>
      </c>
      <c r="B234" s="57">
        <v>45636</v>
      </c>
      <c r="C234" s="99">
        <v>8936233680066</v>
      </c>
      <c r="D234" s="46" t="s">
        <v>412</v>
      </c>
      <c r="E234" s="58" t="s">
        <v>178</v>
      </c>
      <c r="F234" s="26">
        <v>45</v>
      </c>
      <c r="G234" s="20">
        <v>50000</v>
      </c>
      <c r="H234" s="22" t="s">
        <v>103</v>
      </c>
      <c r="I234" s="26" t="s">
        <v>413</v>
      </c>
      <c r="J234" s="26" t="s">
        <v>278</v>
      </c>
      <c r="K234" s="26" t="s">
        <v>311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38.25" customHeight="1">
      <c r="A235" s="22">
        <v>234</v>
      </c>
      <c r="B235" s="62">
        <v>45657</v>
      </c>
      <c r="C235" s="99">
        <v>8809820741788</v>
      </c>
      <c r="D235" s="63" t="s">
        <v>414</v>
      </c>
      <c r="E235" s="58" t="s">
        <v>102</v>
      </c>
      <c r="F235" s="26">
        <v>100</v>
      </c>
      <c r="G235" s="20">
        <v>429000</v>
      </c>
      <c r="H235" s="22" t="s">
        <v>103</v>
      </c>
      <c r="I235" s="26"/>
      <c r="J235" s="26" t="s">
        <v>109</v>
      </c>
      <c r="K235" s="26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ht="38.25" customHeight="1">
      <c r="A236" s="22">
        <v>235</v>
      </c>
      <c r="B236" s="62">
        <v>45657</v>
      </c>
      <c r="C236" s="99">
        <v>8809820741795</v>
      </c>
      <c r="D236" s="63" t="s">
        <v>415</v>
      </c>
      <c r="E236" s="58" t="s">
        <v>102</v>
      </c>
      <c r="F236" s="26">
        <v>100</v>
      </c>
      <c r="G236" s="20">
        <v>429000</v>
      </c>
      <c r="H236" s="22" t="s">
        <v>103</v>
      </c>
      <c r="I236" s="26"/>
      <c r="J236" s="26" t="s">
        <v>109</v>
      </c>
      <c r="K236" s="26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ht="38.25" customHeight="1">
      <c r="A237" s="64">
        <v>236</v>
      </c>
      <c r="B237" s="65">
        <v>45670</v>
      </c>
      <c r="C237" s="104">
        <v>8809491947830</v>
      </c>
      <c r="D237" s="66" t="s">
        <v>416</v>
      </c>
      <c r="E237" s="64" t="s">
        <v>102</v>
      </c>
      <c r="F237" s="67">
        <v>52</v>
      </c>
      <c r="G237" s="68">
        <v>205000</v>
      </c>
      <c r="H237" s="64" t="s">
        <v>103</v>
      </c>
      <c r="I237" s="67" t="s">
        <v>417</v>
      </c>
      <c r="J237" s="67" t="s">
        <v>109</v>
      </c>
      <c r="K237" s="67" t="s">
        <v>245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ht="38.25" customHeight="1">
      <c r="A238" s="64">
        <v>237</v>
      </c>
      <c r="B238" s="65">
        <v>45670</v>
      </c>
      <c r="C238" s="104">
        <v>8809491947847</v>
      </c>
      <c r="D238" s="66" t="s">
        <v>418</v>
      </c>
      <c r="E238" s="64" t="s">
        <v>102</v>
      </c>
      <c r="F238" s="67">
        <v>52</v>
      </c>
      <c r="G238" s="68">
        <v>205000</v>
      </c>
      <c r="H238" s="64" t="s">
        <v>103</v>
      </c>
      <c r="I238" s="67" t="s">
        <v>417</v>
      </c>
      <c r="J238" s="67" t="s">
        <v>109</v>
      </c>
      <c r="K238" s="67" t="s">
        <v>245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ht="38.25" customHeight="1">
      <c r="A239" s="64">
        <v>238</v>
      </c>
      <c r="B239" s="65">
        <v>45670</v>
      </c>
      <c r="C239" s="104">
        <v>8809491947854</v>
      </c>
      <c r="D239" s="66" t="s">
        <v>419</v>
      </c>
      <c r="E239" s="64" t="s">
        <v>102</v>
      </c>
      <c r="F239" s="67">
        <v>52</v>
      </c>
      <c r="G239" s="68">
        <v>205000</v>
      </c>
      <c r="H239" s="64" t="s">
        <v>103</v>
      </c>
      <c r="I239" s="67" t="s">
        <v>417</v>
      </c>
      <c r="J239" s="67" t="s">
        <v>109</v>
      </c>
      <c r="K239" s="67" t="s">
        <v>245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ht="38.25" customHeight="1">
      <c r="A240" s="22">
        <v>239</v>
      </c>
      <c r="B240" s="62">
        <v>45670</v>
      </c>
      <c r="C240" s="99">
        <v>8809491947861</v>
      </c>
      <c r="D240" s="46" t="s">
        <v>420</v>
      </c>
      <c r="E240" s="58" t="s">
        <v>102</v>
      </c>
      <c r="F240" s="26">
        <v>52</v>
      </c>
      <c r="G240" s="20">
        <v>245000</v>
      </c>
      <c r="H240" s="22" t="s">
        <v>103</v>
      </c>
      <c r="I240" s="26"/>
      <c r="J240" s="26" t="s">
        <v>109</v>
      </c>
      <c r="K240" s="26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s="47" customFormat="1" ht="38.25" customHeight="1">
      <c r="A241" s="22">
        <v>240</v>
      </c>
      <c r="B241" s="62">
        <v>45671</v>
      </c>
      <c r="C241" s="99">
        <v>8936233680059</v>
      </c>
      <c r="D241" s="46" t="s">
        <v>421</v>
      </c>
      <c r="E241" s="69" t="s">
        <v>178</v>
      </c>
      <c r="F241" s="26">
        <v>70</v>
      </c>
      <c r="G241" s="20">
        <v>18036</v>
      </c>
      <c r="H241" s="22" t="s">
        <v>103</v>
      </c>
      <c r="I241" s="24" t="s">
        <v>422</v>
      </c>
      <c r="J241" s="26" t="s">
        <v>278</v>
      </c>
      <c r="K241" s="26" t="s">
        <v>311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s="47" customFormat="1" ht="38.25" customHeight="1">
      <c r="A242" s="22">
        <v>241</v>
      </c>
      <c r="B242" s="62">
        <v>45672</v>
      </c>
      <c r="C242" s="99">
        <v>8809820741474</v>
      </c>
      <c r="D242" s="46" t="s">
        <v>423</v>
      </c>
      <c r="E242" s="58" t="s">
        <v>178</v>
      </c>
      <c r="F242" s="26">
        <v>12</v>
      </c>
      <c r="G242" s="20">
        <v>2000</v>
      </c>
      <c r="H242" s="22" t="s">
        <v>103</v>
      </c>
      <c r="I242" s="26"/>
      <c r="J242" s="26" t="s">
        <v>278</v>
      </c>
      <c r="K242" s="26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s="47" customFormat="1" ht="38.25" customHeight="1">
      <c r="A243" s="22">
        <v>242</v>
      </c>
      <c r="B243" s="62">
        <v>45672</v>
      </c>
      <c r="C243" s="99">
        <v>8809820741665</v>
      </c>
      <c r="D243" s="46" t="s">
        <v>424</v>
      </c>
      <c r="E243" s="58" t="s">
        <v>102</v>
      </c>
      <c r="F243" s="26">
        <v>28</v>
      </c>
      <c r="G243" s="20">
        <v>255000</v>
      </c>
      <c r="H243" s="22" t="s">
        <v>103</v>
      </c>
      <c r="I243" s="26"/>
      <c r="J243" s="26" t="s">
        <v>109</v>
      </c>
      <c r="K243" s="46" t="s">
        <v>356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s="47" customFormat="1" ht="38.25" customHeight="1">
      <c r="A244" s="22">
        <v>243</v>
      </c>
      <c r="B244" s="62">
        <v>45698</v>
      </c>
      <c r="C244" s="99">
        <v>8936233680028</v>
      </c>
      <c r="D244" s="46" t="s">
        <v>425</v>
      </c>
      <c r="E244" s="58" t="s">
        <v>178</v>
      </c>
      <c r="F244" s="60">
        <v>105</v>
      </c>
      <c r="G244" s="70">
        <v>45000</v>
      </c>
      <c r="H244" s="22" t="s">
        <v>103</v>
      </c>
      <c r="I244" s="26"/>
      <c r="J244" s="26" t="s">
        <v>278</v>
      </c>
      <c r="K244" s="26" t="s">
        <v>311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s="47" customFormat="1" ht="38.25" customHeight="1">
      <c r="A245" s="22">
        <v>244</v>
      </c>
      <c r="B245" s="62">
        <v>45712</v>
      </c>
      <c r="C245" s="99">
        <v>8936233680035</v>
      </c>
      <c r="D245" s="46" t="s">
        <v>426</v>
      </c>
      <c r="E245" s="58" t="s">
        <v>178</v>
      </c>
      <c r="F245" s="60">
        <v>320</v>
      </c>
      <c r="G245" s="70">
        <v>33000</v>
      </c>
      <c r="H245" s="22" t="s">
        <v>103</v>
      </c>
      <c r="I245" s="26"/>
      <c r="J245" s="26" t="s">
        <v>278</v>
      </c>
      <c r="K245" s="26" t="s">
        <v>311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s="47" customFormat="1" ht="36.75" customHeight="1">
      <c r="A246" s="22">
        <v>245</v>
      </c>
      <c r="B246" s="71">
        <v>45726</v>
      </c>
      <c r="C246" s="99">
        <v>8936233680240</v>
      </c>
      <c r="D246" s="44" t="s">
        <v>427</v>
      </c>
      <c r="E246" s="22" t="s">
        <v>178</v>
      </c>
      <c r="F246" s="26">
        <v>5</v>
      </c>
      <c r="G246" s="20"/>
      <c r="H246" s="72" t="s">
        <v>103</v>
      </c>
      <c r="I246" s="26"/>
      <c r="J246" s="26" t="s">
        <v>278</v>
      </c>
      <c r="K246" s="26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s="47" customFormat="1" ht="36.75" customHeight="1">
      <c r="A247" s="22">
        <v>246</v>
      </c>
      <c r="B247" s="71">
        <v>45726</v>
      </c>
      <c r="C247" s="99">
        <v>8936233680264</v>
      </c>
      <c r="D247" s="44" t="s">
        <v>428</v>
      </c>
      <c r="E247" s="22" t="s">
        <v>178</v>
      </c>
      <c r="F247" s="26">
        <v>5</v>
      </c>
      <c r="G247" s="20"/>
      <c r="H247" s="72" t="s">
        <v>103</v>
      </c>
      <c r="I247" s="26"/>
      <c r="J247" s="26" t="s">
        <v>278</v>
      </c>
      <c r="K247" s="26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s="47" customFormat="1" ht="36.75" customHeight="1">
      <c r="A248" s="22">
        <v>247</v>
      </c>
      <c r="B248" s="71">
        <v>45726</v>
      </c>
      <c r="C248" s="99">
        <v>8936233680233</v>
      </c>
      <c r="D248" s="44" t="s">
        <v>429</v>
      </c>
      <c r="E248" s="22" t="s">
        <v>178</v>
      </c>
      <c r="F248" s="26">
        <v>5</v>
      </c>
      <c r="G248" s="20"/>
      <c r="H248" s="72" t="s">
        <v>103</v>
      </c>
      <c r="I248" s="26"/>
      <c r="J248" s="26" t="s">
        <v>278</v>
      </c>
      <c r="K248" s="26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s="47" customFormat="1" ht="36.75" customHeight="1">
      <c r="A249" s="22">
        <v>248</v>
      </c>
      <c r="B249" s="71">
        <v>45726</v>
      </c>
      <c r="C249" s="99">
        <v>8936233680257</v>
      </c>
      <c r="D249" s="44" t="s">
        <v>430</v>
      </c>
      <c r="E249" s="22" t="s">
        <v>178</v>
      </c>
      <c r="F249" s="26">
        <v>5</v>
      </c>
      <c r="G249" s="20"/>
      <c r="H249" s="72" t="s">
        <v>103</v>
      </c>
      <c r="I249" s="26"/>
      <c r="J249" s="26" t="s">
        <v>278</v>
      </c>
      <c r="K249" s="26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38.25" customHeight="1">
      <c r="A250" s="16">
        <v>249</v>
      </c>
      <c r="B250" s="73">
        <v>45731</v>
      </c>
      <c r="C250" s="105">
        <v>8936233680004</v>
      </c>
      <c r="D250" s="74" t="s">
        <v>431</v>
      </c>
      <c r="E250" s="16" t="s">
        <v>102</v>
      </c>
      <c r="F250" s="75">
        <v>120</v>
      </c>
      <c r="G250" s="76">
        <v>349000</v>
      </c>
      <c r="H250" s="77" t="s">
        <v>103</v>
      </c>
      <c r="I250" s="19" t="s">
        <v>432</v>
      </c>
      <c r="J250" s="19" t="s">
        <v>109</v>
      </c>
      <c r="K250" s="78" t="s">
        <v>433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ht="38.25" customHeight="1">
      <c r="A251" s="22">
        <v>250</v>
      </c>
      <c r="B251" s="62">
        <v>45748</v>
      </c>
      <c r="C251" s="99">
        <v>8809820741351</v>
      </c>
      <c r="D251" s="44" t="s">
        <v>434</v>
      </c>
      <c r="E251" s="79" t="s">
        <v>178</v>
      </c>
      <c r="F251" s="80">
        <v>19</v>
      </c>
      <c r="G251" s="81">
        <v>2166</v>
      </c>
      <c r="H251" s="72" t="s">
        <v>103</v>
      </c>
      <c r="I251" s="26"/>
      <c r="J251" s="26" t="s">
        <v>278</v>
      </c>
      <c r="K251" s="26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s="47" customFormat="1" ht="38.25" customHeight="1">
      <c r="A252" s="22">
        <v>251</v>
      </c>
      <c r="B252" s="62">
        <v>45748</v>
      </c>
      <c r="C252" s="99">
        <v>8809820741641</v>
      </c>
      <c r="D252" s="44" t="s">
        <v>435</v>
      </c>
      <c r="E252" s="79" t="s">
        <v>102</v>
      </c>
      <c r="F252" s="80">
        <v>28</v>
      </c>
      <c r="G252" s="81">
        <v>255000</v>
      </c>
      <c r="H252" s="72" t="s">
        <v>103</v>
      </c>
      <c r="I252" s="26"/>
      <c r="J252" s="26" t="s">
        <v>109</v>
      </c>
      <c r="K252" s="46" t="s">
        <v>356</v>
      </c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s="47" customFormat="1" ht="36.75" customHeight="1">
      <c r="A253" s="22">
        <v>252</v>
      </c>
      <c r="B253" s="82">
        <v>45764</v>
      </c>
      <c r="C253" s="99">
        <v>8936233680288</v>
      </c>
      <c r="D253" s="44" t="s">
        <v>436</v>
      </c>
      <c r="E253" s="22" t="s">
        <v>178</v>
      </c>
      <c r="F253" s="26">
        <v>50</v>
      </c>
      <c r="G253" s="20">
        <v>19342</v>
      </c>
      <c r="H253" s="72" t="s">
        <v>103</v>
      </c>
      <c r="I253" s="26"/>
      <c r="J253" s="26" t="s">
        <v>278</v>
      </c>
      <c r="K253" s="26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s="47" customFormat="1" ht="33" customHeight="1">
      <c r="A254" s="22">
        <v>253</v>
      </c>
      <c r="B254" s="82">
        <v>45765</v>
      </c>
      <c r="C254" s="106">
        <v>8936233680325</v>
      </c>
      <c r="D254" s="44" t="s">
        <v>437</v>
      </c>
      <c r="E254" s="22" t="s">
        <v>219</v>
      </c>
      <c r="F254" s="61">
        <v>120</v>
      </c>
      <c r="G254" s="20">
        <v>35000</v>
      </c>
      <c r="H254" s="72" t="s">
        <v>103</v>
      </c>
      <c r="I254" s="26"/>
      <c r="J254" s="26" t="s">
        <v>278</v>
      </c>
      <c r="K254" s="26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s="47" customFormat="1" ht="33" customHeight="1">
      <c r="A255" s="22">
        <v>254</v>
      </c>
      <c r="B255" s="82">
        <v>45765</v>
      </c>
      <c r="C255" s="106">
        <v>8936233680295</v>
      </c>
      <c r="D255" s="44" t="s">
        <v>438</v>
      </c>
      <c r="E255" s="22" t="s">
        <v>178</v>
      </c>
      <c r="F255" s="61">
        <v>5</v>
      </c>
      <c r="G255" s="20"/>
      <c r="H255" s="72" t="s">
        <v>103</v>
      </c>
      <c r="I255" s="26"/>
      <c r="J255" s="26" t="s">
        <v>278</v>
      </c>
      <c r="K255" s="26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s="47" customFormat="1" ht="33" customHeight="1">
      <c r="A256" s="22">
        <v>255</v>
      </c>
      <c r="B256" s="82">
        <v>45765</v>
      </c>
      <c r="C256" s="106">
        <v>8936233680301</v>
      </c>
      <c r="D256" s="44" t="s">
        <v>439</v>
      </c>
      <c r="E256" s="22" t="s">
        <v>178</v>
      </c>
      <c r="F256" s="61">
        <v>5</v>
      </c>
      <c r="G256" s="20"/>
      <c r="H256" s="72" t="s">
        <v>103</v>
      </c>
      <c r="I256" s="26"/>
      <c r="J256" s="26" t="s">
        <v>278</v>
      </c>
      <c r="K256" s="26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s="47" customFormat="1" ht="35.25" customHeight="1">
      <c r="A257" s="22">
        <v>256</v>
      </c>
      <c r="B257" s="82">
        <v>45769</v>
      </c>
      <c r="C257" s="106">
        <v>8936233680011</v>
      </c>
      <c r="D257" s="44" t="s">
        <v>440</v>
      </c>
      <c r="E257" s="83" t="s">
        <v>102</v>
      </c>
      <c r="F257" s="61">
        <v>171</v>
      </c>
      <c r="G257" s="20">
        <v>349000</v>
      </c>
      <c r="H257" s="72" t="s">
        <v>103</v>
      </c>
      <c r="I257" s="26"/>
      <c r="J257" s="26" t="s">
        <v>109</v>
      </c>
      <c r="K257" s="26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s="47" customFormat="1" ht="35.25" customHeight="1">
      <c r="A258" s="22">
        <v>257</v>
      </c>
      <c r="B258" s="82">
        <v>45831</v>
      </c>
      <c r="C258" s="106">
        <v>8809820741566</v>
      </c>
      <c r="D258" s="44" t="s">
        <v>441</v>
      </c>
      <c r="E258" s="72" t="s">
        <v>102</v>
      </c>
      <c r="F258" s="61">
        <v>50</v>
      </c>
      <c r="G258" s="20">
        <v>355000</v>
      </c>
      <c r="H258" s="72" t="s">
        <v>103</v>
      </c>
      <c r="I258" s="26"/>
      <c r="J258" s="26" t="s">
        <v>109</v>
      </c>
      <c r="K258" s="26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35.25" customHeight="1">
      <c r="A259" s="22">
        <v>258</v>
      </c>
      <c r="B259" s="82">
        <v>45832</v>
      </c>
      <c r="C259" s="106">
        <v>8936233680356</v>
      </c>
      <c r="D259" s="44" t="s">
        <v>442</v>
      </c>
      <c r="E259" s="72" t="s">
        <v>178</v>
      </c>
      <c r="F259" s="61">
        <v>27</v>
      </c>
      <c r="G259" s="20">
        <v>10000</v>
      </c>
      <c r="H259" s="72" t="s">
        <v>103</v>
      </c>
      <c r="I259" s="26"/>
      <c r="J259" s="26" t="s">
        <v>278</v>
      </c>
      <c r="K259" s="26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ht="30.75" customHeight="1">
      <c r="A260" s="49">
        <v>259</v>
      </c>
      <c r="B260" s="84">
        <v>45853</v>
      </c>
      <c r="C260" s="107">
        <v>8800296553356</v>
      </c>
      <c r="D260" s="85" t="s">
        <v>443</v>
      </c>
      <c r="E260" s="86" t="s">
        <v>102</v>
      </c>
      <c r="F260" s="87">
        <v>235</v>
      </c>
      <c r="G260" s="54">
        <v>495000</v>
      </c>
      <c r="H260" s="88" t="s">
        <v>103</v>
      </c>
      <c r="I260" s="89" t="s">
        <v>444</v>
      </c>
      <c r="J260" s="89" t="s">
        <v>109</v>
      </c>
      <c r="K260" s="89" t="s">
        <v>445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ht="30.75" customHeight="1">
      <c r="A261" s="49">
        <v>260</v>
      </c>
      <c r="B261" s="84">
        <v>45853</v>
      </c>
      <c r="C261" s="107">
        <v>8800296553363</v>
      </c>
      <c r="D261" s="85" t="s">
        <v>84</v>
      </c>
      <c r="E261" s="86" t="s">
        <v>102</v>
      </c>
      <c r="F261" s="87">
        <v>235</v>
      </c>
      <c r="G261" s="54">
        <v>495000</v>
      </c>
      <c r="H261" s="88" t="s">
        <v>103</v>
      </c>
      <c r="I261" s="89" t="s">
        <v>444</v>
      </c>
      <c r="J261" s="89" t="s">
        <v>109</v>
      </c>
      <c r="K261" s="89" t="s">
        <v>445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s="47" customFormat="1" ht="30.75" customHeight="1">
      <c r="A262" s="22">
        <v>261</v>
      </c>
      <c r="B262" s="82">
        <v>45859</v>
      </c>
      <c r="C262" s="106">
        <v>8800296553493</v>
      </c>
      <c r="D262" s="44" t="s">
        <v>446</v>
      </c>
      <c r="E262" s="90" t="s">
        <v>102</v>
      </c>
      <c r="F262" s="61">
        <v>135</v>
      </c>
      <c r="G262" s="20">
        <v>385000</v>
      </c>
      <c r="H262" s="72" t="s">
        <v>103</v>
      </c>
      <c r="I262" s="26" t="s">
        <v>447</v>
      </c>
      <c r="J262" s="26" t="s">
        <v>109</v>
      </c>
      <c r="K262" s="26" t="s">
        <v>448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s="47" customFormat="1" ht="30.75" customHeight="1">
      <c r="A263" s="22">
        <v>262</v>
      </c>
      <c r="B263" s="82">
        <v>45859</v>
      </c>
      <c r="C263" s="106">
        <v>8800296553509</v>
      </c>
      <c r="D263" s="44" t="s">
        <v>449</v>
      </c>
      <c r="E263" s="90" t="s">
        <v>102</v>
      </c>
      <c r="F263" s="61">
        <v>135</v>
      </c>
      <c r="G263" s="20">
        <v>385000</v>
      </c>
      <c r="H263" s="72" t="s">
        <v>103</v>
      </c>
      <c r="I263" s="26" t="s">
        <v>447</v>
      </c>
      <c r="J263" s="26" t="s">
        <v>109</v>
      </c>
      <c r="K263" s="26" t="s">
        <v>448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31.5" customHeight="1">
      <c r="A264" s="22">
        <v>263</v>
      </c>
      <c r="B264" s="82">
        <v>45859</v>
      </c>
      <c r="C264" s="106">
        <v>8936233680318</v>
      </c>
      <c r="D264" s="44" t="s">
        <v>450</v>
      </c>
      <c r="E264" s="90" t="s">
        <v>102</v>
      </c>
      <c r="F264" s="61">
        <v>65</v>
      </c>
      <c r="G264" s="20">
        <v>20000</v>
      </c>
      <c r="H264" s="72" t="s">
        <v>103</v>
      </c>
      <c r="I264" s="26"/>
      <c r="J264" s="26" t="s">
        <v>278</v>
      </c>
      <c r="K264" s="26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s="47" customFormat="1" ht="31.5" customHeight="1">
      <c r="A265" s="22">
        <v>264</v>
      </c>
      <c r="B265" s="82">
        <v>45877</v>
      </c>
      <c r="C265" s="108">
        <v>8809237073809</v>
      </c>
      <c r="D265" s="44" t="s">
        <v>451</v>
      </c>
      <c r="E265" s="58" t="s">
        <v>102</v>
      </c>
      <c r="F265" s="61">
        <v>220</v>
      </c>
      <c r="G265" s="20">
        <v>250000</v>
      </c>
      <c r="H265" s="72" t="s">
        <v>103</v>
      </c>
      <c r="I265" s="26"/>
      <c r="J265" s="26" t="s">
        <v>109</v>
      </c>
      <c r="K265" s="26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s="47" customFormat="1" ht="31.5" customHeight="1">
      <c r="A266" s="22">
        <v>265</v>
      </c>
      <c r="B266" s="82">
        <v>45877</v>
      </c>
      <c r="C266" s="108">
        <v>8809237073816</v>
      </c>
      <c r="D266" s="44" t="s">
        <v>452</v>
      </c>
      <c r="E266" s="58" t="s">
        <v>102</v>
      </c>
      <c r="F266" s="61">
        <v>220</v>
      </c>
      <c r="G266" s="20">
        <v>250000</v>
      </c>
      <c r="H266" s="72" t="s">
        <v>103</v>
      </c>
      <c r="I266" s="26"/>
      <c r="J266" s="26" t="s">
        <v>109</v>
      </c>
      <c r="K266" s="26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s="47" customFormat="1" ht="31.5" customHeight="1">
      <c r="A267" s="22">
        <v>266</v>
      </c>
      <c r="B267" s="82">
        <v>45877</v>
      </c>
      <c r="C267" s="108">
        <v>8809237073823</v>
      </c>
      <c r="D267" s="44" t="s">
        <v>453</v>
      </c>
      <c r="E267" s="58" t="s">
        <v>102</v>
      </c>
      <c r="F267" s="61">
        <v>220</v>
      </c>
      <c r="G267" s="20">
        <v>250000</v>
      </c>
      <c r="H267" s="72" t="s">
        <v>103</v>
      </c>
      <c r="I267" s="26"/>
      <c r="J267" s="26" t="s">
        <v>109</v>
      </c>
      <c r="K267" s="26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s="47" customFormat="1" ht="31.5" customHeight="1">
      <c r="A268" s="22">
        <v>267</v>
      </c>
      <c r="B268" s="82">
        <v>45877</v>
      </c>
      <c r="C268" s="108">
        <v>8809237075261</v>
      </c>
      <c r="D268" s="46" t="s">
        <v>454</v>
      </c>
      <c r="E268" s="58" t="s">
        <v>102</v>
      </c>
      <c r="F268" s="60">
        <v>115</v>
      </c>
      <c r="G268" s="20">
        <v>199000</v>
      </c>
      <c r="H268" s="72" t="s">
        <v>103</v>
      </c>
      <c r="I268" s="26"/>
      <c r="J268" s="26" t="s">
        <v>116</v>
      </c>
      <c r="K268" s="26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s="47" customFormat="1" ht="31.5" customHeight="1">
      <c r="A269" s="22">
        <v>268</v>
      </c>
      <c r="B269" s="82">
        <v>45877</v>
      </c>
      <c r="C269" s="108">
        <v>8809237073618</v>
      </c>
      <c r="D269" s="46" t="s">
        <v>455</v>
      </c>
      <c r="E269" s="58" t="s">
        <v>102</v>
      </c>
      <c r="F269" s="91">
        <v>120</v>
      </c>
      <c r="G269" s="20">
        <v>199000</v>
      </c>
      <c r="H269" s="72" t="s">
        <v>103</v>
      </c>
      <c r="I269" s="26"/>
      <c r="J269" s="26" t="s">
        <v>116</v>
      </c>
      <c r="K269" s="26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33" customHeight="1">
      <c r="A270" s="22">
        <v>269</v>
      </c>
      <c r="B270" s="82">
        <v>45880</v>
      </c>
      <c r="C270" s="108">
        <v>8936233680431</v>
      </c>
      <c r="D270" s="44" t="s">
        <v>456</v>
      </c>
      <c r="E270" s="90" t="s">
        <v>102</v>
      </c>
      <c r="F270" s="26">
        <v>430</v>
      </c>
      <c r="G270" s="20">
        <v>100000</v>
      </c>
      <c r="H270" s="72" t="s">
        <v>103</v>
      </c>
      <c r="I270" s="26"/>
      <c r="J270" s="26" t="s">
        <v>278</v>
      </c>
      <c r="K270" s="26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ht="33" customHeight="1">
      <c r="A271" s="22">
        <v>270</v>
      </c>
      <c r="B271" s="82">
        <v>45892</v>
      </c>
      <c r="C271" s="108">
        <v>8936233680455</v>
      </c>
      <c r="D271" s="44" t="s">
        <v>457</v>
      </c>
      <c r="E271" s="90" t="s">
        <v>102</v>
      </c>
      <c r="F271" s="26">
        <v>430</v>
      </c>
      <c r="G271" s="20">
        <v>100000</v>
      </c>
      <c r="H271" s="72" t="s">
        <v>103</v>
      </c>
      <c r="I271" s="26"/>
      <c r="J271" s="26" t="s">
        <v>278</v>
      </c>
      <c r="K271" s="26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ht="33" customHeight="1">
      <c r="A272" s="22">
        <v>271</v>
      </c>
      <c r="B272" s="62">
        <v>45906</v>
      </c>
      <c r="C272" s="108">
        <v>8936233680479</v>
      </c>
      <c r="D272" s="44" t="s">
        <v>458</v>
      </c>
      <c r="E272" s="90" t="s">
        <v>102</v>
      </c>
      <c r="F272" s="26">
        <v>450</v>
      </c>
      <c r="G272" s="20">
        <v>199000</v>
      </c>
      <c r="H272" s="72" t="s">
        <v>103</v>
      </c>
      <c r="I272" s="26"/>
      <c r="J272" s="26" t="s">
        <v>278</v>
      </c>
      <c r="K272" s="26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s="47" customFormat="1" ht="30" customHeight="1">
      <c r="A273" s="22">
        <v>272</v>
      </c>
      <c r="B273" s="62">
        <v>45908</v>
      </c>
      <c r="C273" s="106">
        <v>8809882040164</v>
      </c>
      <c r="D273" s="44" t="s">
        <v>459</v>
      </c>
      <c r="E273" s="72" t="s">
        <v>102</v>
      </c>
      <c r="F273" s="26">
        <v>189</v>
      </c>
      <c r="G273" s="20">
        <v>415000</v>
      </c>
      <c r="H273" s="72" t="s">
        <v>103</v>
      </c>
      <c r="I273" s="72"/>
      <c r="J273" s="26" t="s">
        <v>116</v>
      </c>
      <c r="K273" s="72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s="47" customFormat="1" ht="30" customHeight="1">
      <c r="A274" s="22">
        <v>273</v>
      </c>
      <c r="B274" s="62">
        <v>45908</v>
      </c>
      <c r="C274" s="106">
        <v>8809882040188</v>
      </c>
      <c r="D274" s="44" t="s">
        <v>460</v>
      </c>
      <c r="E274" s="72" t="s">
        <v>102</v>
      </c>
      <c r="F274" s="26">
        <v>158</v>
      </c>
      <c r="G274" s="20">
        <v>415000</v>
      </c>
      <c r="H274" s="72" t="s">
        <v>103</v>
      </c>
      <c r="I274" s="72"/>
      <c r="J274" s="26" t="s">
        <v>116</v>
      </c>
      <c r="K274" s="72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s="47" customFormat="1" ht="30" customHeight="1">
      <c r="A275" s="22">
        <v>274</v>
      </c>
      <c r="B275" s="62">
        <v>45908</v>
      </c>
      <c r="C275" s="106">
        <v>8809882040195</v>
      </c>
      <c r="D275" s="44" t="s">
        <v>461</v>
      </c>
      <c r="E275" s="72" t="s">
        <v>102</v>
      </c>
      <c r="F275" s="26">
        <v>334</v>
      </c>
      <c r="G275" s="20">
        <v>415000</v>
      </c>
      <c r="H275" s="72" t="s">
        <v>103</v>
      </c>
      <c r="I275" s="72"/>
      <c r="J275" s="26" t="s">
        <v>116</v>
      </c>
      <c r="K275" s="72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s="47" customFormat="1" ht="30" customHeight="1">
      <c r="A276" s="22">
        <v>275</v>
      </c>
      <c r="B276" s="62">
        <v>45908</v>
      </c>
      <c r="C276" s="99">
        <v>8809882040133</v>
      </c>
      <c r="D276" s="46" t="s">
        <v>462</v>
      </c>
      <c r="E276" s="72" t="s">
        <v>102</v>
      </c>
      <c r="F276" s="26">
        <v>73</v>
      </c>
      <c r="G276" s="20">
        <v>395000</v>
      </c>
      <c r="H276" s="72" t="s">
        <v>103</v>
      </c>
      <c r="I276" s="72"/>
      <c r="J276" s="26" t="s">
        <v>116</v>
      </c>
      <c r="K276" s="72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30" customHeight="1">
      <c r="A277" s="22">
        <v>276</v>
      </c>
      <c r="B277" s="62">
        <v>45919</v>
      </c>
      <c r="C277" s="99">
        <v>8809820741726</v>
      </c>
      <c r="D277" s="46" t="s">
        <v>463</v>
      </c>
      <c r="E277" s="72" t="s">
        <v>102</v>
      </c>
      <c r="F277" s="26">
        <v>16</v>
      </c>
      <c r="G277" s="20">
        <v>199000</v>
      </c>
      <c r="H277" s="72" t="s">
        <v>103</v>
      </c>
      <c r="I277" s="72"/>
      <c r="J277" s="26" t="s">
        <v>109</v>
      </c>
      <c r="K277" s="72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ht="30" customHeight="1">
      <c r="A278" s="22">
        <v>277</v>
      </c>
      <c r="B278" s="62">
        <v>45919</v>
      </c>
      <c r="C278" s="99">
        <v>8809820741733</v>
      </c>
      <c r="D278" s="46" t="s">
        <v>464</v>
      </c>
      <c r="E278" s="72" t="s">
        <v>102</v>
      </c>
      <c r="F278" s="26">
        <v>16</v>
      </c>
      <c r="G278" s="20">
        <v>199000</v>
      </c>
      <c r="H278" s="72" t="s">
        <v>103</v>
      </c>
      <c r="I278" s="72"/>
      <c r="J278" s="26" t="s">
        <v>109</v>
      </c>
      <c r="K278" s="72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ht="30" customHeight="1">
      <c r="A279" s="22">
        <v>278</v>
      </c>
      <c r="B279" s="62">
        <v>45919</v>
      </c>
      <c r="C279" s="99">
        <v>8809820741757</v>
      </c>
      <c r="D279" s="46" t="s">
        <v>465</v>
      </c>
      <c r="E279" s="72" t="s">
        <v>102</v>
      </c>
      <c r="F279" s="26">
        <v>16</v>
      </c>
      <c r="G279" s="20">
        <v>199000</v>
      </c>
      <c r="H279" s="72" t="s">
        <v>103</v>
      </c>
      <c r="I279" s="72"/>
      <c r="J279" s="26" t="s">
        <v>109</v>
      </c>
      <c r="K279" s="72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ht="30" customHeight="1">
      <c r="A280" s="22">
        <v>279</v>
      </c>
      <c r="B280" s="62">
        <v>45919</v>
      </c>
      <c r="C280" s="99">
        <v>8809820741764</v>
      </c>
      <c r="D280" s="46" t="s">
        <v>466</v>
      </c>
      <c r="E280" s="72" t="s">
        <v>102</v>
      </c>
      <c r="F280" s="26">
        <v>16</v>
      </c>
      <c r="G280" s="20">
        <v>199000</v>
      </c>
      <c r="H280" s="72" t="s">
        <v>103</v>
      </c>
      <c r="I280" s="72"/>
      <c r="J280" s="26" t="s">
        <v>109</v>
      </c>
      <c r="K280" s="72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ht="30" customHeight="1">
      <c r="A281" s="16">
        <v>280</v>
      </c>
      <c r="B281" s="73">
        <v>45931</v>
      </c>
      <c r="C281" s="109">
        <v>6970758099615</v>
      </c>
      <c r="D281" s="74" t="s">
        <v>467</v>
      </c>
      <c r="E281" s="77" t="s">
        <v>178</v>
      </c>
      <c r="F281" s="19">
        <v>85</v>
      </c>
      <c r="G281" s="92">
        <v>100000</v>
      </c>
      <c r="H281" s="77" t="s">
        <v>103</v>
      </c>
      <c r="I281" s="77"/>
      <c r="J281" s="19" t="s">
        <v>278</v>
      </c>
      <c r="K281" s="77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ht="30" customHeight="1">
      <c r="A282" s="16">
        <v>281</v>
      </c>
      <c r="B282" s="73">
        <v>45937</v>
      </c>
      <c r="C282" s="109">
        <v>8936233680448</v>
      </c>
      <c r="D282" s="74" t="s">
        <v>468</v>
      </c>
      <c r="E282" s="77" t="s">
        <v>178</v>
      </c>
      <c r="F282" s="19">
        <v>42</v>
      </c>
      <c r="G282" s="93">
        <v>14000</v>
      </c>
      <c r="H282" s="92" t="s">
        <v>103</v>
      </c>
      <c r="I282" s="77"/>
      <c r="J282" s="19" t="s">
        <v>278</v>
      </c>
      <c r="K282" s="77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ht="30" customHeight="1">
      <c r="A283" s="16">
        <v>282</v>
      </c>
      <c r="B283" s="73">
        <v>45937</v>
      </c>
      <c r="C283" s="109">
        <v>8936233680424</v>
      </c>
      <c r="D283" s="74" t="s">
        <v>469</v>
      </c>
      <c r="E283" s="77" t="s">
        <v>178</v>
      </c>
      <c r="F283" s="19">
        <v>5</v>
      </c>
      <c r="G283" s="93">
        <v>6000</v>
      </c>
      <c r="H283" s="92" t="s">
        <v>103</v>
      </c>
      <c r="I283" s="77"/>
      <c r="J283" s="19" t="s">
        <v>278</v>
      </c>
      <c r="K283" s="77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ht="30" customHeight="1">
      <c r="A284" s="16">
        <v>283</v>
      </c>
      <c r="B284" s="73">
        <v>45940</v>
      </c>
      <c r="C284" s="109">
        <v>8936233680523</v>
      </c>
      <c r="D284" s="74" t="s">
        <v>470</v>
      </c>
      <c r="E284" s="77" t="s">
        <v>178</v>
      </c>
      <c r="F284" s="19">
        <v>108</v>
      </c>
      <c r="G284" s="93">
        <v>80000</v>
      </c>
      <c r="H284" s="92" t="s">
        <v>103</v>
      </c>
      <c r="I284" s="77"/>
      <c r="J284" s="19" t="s">
        <v>278</v>
      </c>
      <c r="K284" s="77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ht="30" customHeight="1">
      <c r="A285" s="16">
        <v>284</v>
      </c>
      <c r="B285" s="73">
        <v>45945</v>
      </c>
      <c r="C285" s="109">
        <v>8936233680462</v>
      </c>
      <c r="D285" s="74" t="s">
        <v>471</v>
      </c>
      <c r="E285" s="77" t="s">
        <v>178</v>
      </c>
      <c r="F285" s="19">
        <v>140</v>
      </c>
      <c r="G285" s="93">
        <v>35000</v>
      </c>
      <c r="H285" s="92" t="s">
        <v>103</v>
      </c>
      <c r="I285" s="77"/>
      <c r="J285" s="19" t="s">
        <v>278</v>
      </c>
      <c r="K285" s="77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ht="30" customHeight="1">
      <c r="A286" s="16">
        <v>285</v>
      </c>
      <c r="B286" s="73">
        <v>45952</v>
      </c>
      <c r="C286" s="109">
        <v>8806158589006</v>
      </c>
      <c r="D286" s="74" t="s">
        <v>472</v>
      </c>
      <c r="E286" s="77" t="s">
        <v>178</v>
      </c>
      <c r="F286" s="19">
        <v>55</v>
      </c>
      <c r="G286" s="93">
        <v>250000</v>
      </c>
      <c r="H286" s="92" t="s">
        <v>270</v>
      </c>
      <c r="I286" s="94" t="s">
        <v>473</v>
      </c>
      <c r="J286" s="19" t="s">
        <v>116</v>
      </c>
      <c r="K286" s="94" t="s">
        <v>474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ht="30" customHeight="1">
      <c r="A287" s="16">
        <v>286</v>
      </c>
      <c r="B287" s="73">
        <v>45954</v>
      </c>
      <c r="C287" s="109">
        <v>8800296554797</v>
      </c>
      <c r="D287" s="74" t="s">
        <v>475</v>
      </c>
      <c r="E287" s="77" t="s">
        <v>102</v>
      </c>
      <c r="F287" s="19">
        <v>135</v>
      </c>
      <c r="G287" s="93">
        <v>385000</v>
      </c>
      <c r="H287" s="92" t="s">
        <v>103</v>
      </c>
      <c r="I287" s="77"/>
      <c r="J287" s="19" t="s">
        <v>109</v>
      </c>
      <c r="K287" s="77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ht="30" customHeight="1">
      <c r="A288" s="16">
        <v>287</v>
      </c>
      <c r="B288" s="73">
        <v>45953</v>
      </c>
      <c r="C288" s="109">
        <v>8936233680585</v>
      </c>
      <c r="D288" s="74" t="s">
        <v>476</v>
      </c>
      <c r="E288" s="77" t="s">
        <v>178</v>
      </c>
      <c r="F288" s="19">
        <v>22</v>
      </c>
      <c r="G288" s="93">
        <v>22000</v>
      </c>
      <c r="H288" s="92" t="s">
        <v>103</v>
      </c>
      <c r="I288" s="77"/>
      <c r="J288" s="19" t="s">
        <v>278</v>
      </c>
      <c r="K288" s="77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ht="30" customHeight="1">
      <c r="A289" s="16">
        <v>288</v>
      </c>
      <c r="B289" s="73">
        <v>45975</v>
      </c>
      <c r="C289" s="109">
        <v>8936233680493</v>
      </c>
      <c r="D289" s="74" t="s">
        <v>477</v>
      </c>
      <c r="E289" s="77" t="s">
        <v>178</v>
      </c>
      <c r="F289" s="19">
        <v>17</v>
      </c>
      <c r="G289" s="93" t="s">
        <v>478</v>
      </c>
      <c r="H289" s="92" t="s">
        <v>103</v>
      </c>
      <c r="I289" s="77"/>
      <c r="J289" s="19" t="s">
        <v>278</v>
      </c>
      <c r="K289" s="77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ht="30" customHeight="1">
      <c r="A290" s="16">
        <v>289</v>
      </c>
      <c r="B290" s="73">
        <v>45975</v>
      </c>
      <c r="C290" s="109">
        <v>8936233680486</v>
      </c>
      <c r="D290" s="74" t="s">
        <v>479</v>
      </c>
      <c r="E290" s="77" t="s">
        <v>178</v>
      </c>
      <c r="F290" s="19">
        <v>98</v>
      </c>
      <c r="G290" s="93" t="s">
        <v>480</v>
      </c>
      <c r="H290" s="92" t="s">
        <v>103</v>
      </c>
      <c r="I290" s="77"/>
      <c r="J290" s="19" t="s">
        <v>278</v>
      </c>
      <c r="K290" s="77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ht="30" customHeight="1">
      <c r="A291" s="16">
        <v>290</v>
      </c>
      <c r="B291" s="73">
        <v>45976</v>
      </c>
      <c r="C291" s="109">
        <v>8809820741658</v>
      </c>
      <c r="D291" s="74" t="s">
        <v>481</v>
      </c>
      <c r="E291" s="77" t="s">
        <v>102</v>
      </c>
      <c r="F291" s="19">
        <v>28</v>
      </c>
      <c r="G291" s="93" t="s">
        <v>482</v>
      </c>
      <c r="H291" s="92" t="s">
        <v>103</v>
      </c>
      <c r="I291" s="77"/>
      <c r="J291" s="19" t="s">
        <v>116</v>
      </c>
      <c r="K291" s="77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ht="30" customHeight="1">
      <c r="A292" s="16">
        <v>291</v>
      </c>
      <c r="B292" s="73">
        <v>45669</v>
      </c>
      <c r="C292" s="109">
        <v>8936233680509</v>
      </c>
      <c r="D292" s="74" t="s">
        <v>483</v>
      </c>
      <c r="E292" s="77" t="s">
        <v>178</v>
      </c>
      <c r="F292" s="19">
        <v>150</v>
      </c>
      <c r="G292" s="93" t="s">
        <v>484</v>
      </c>
      <c r="H292" s="92" t="s">
        <v>103</v>
      </c>
      <c r="I292" s="77"/>
      <c r="J292" s="19" t="s">
        <v>278</v>
      </c>
      <c r="K292" s="77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ht="30" customHeight="1">
      <c r="A293" s="16">
        <v>292</v>
      </c>
      <c r="B293" s="73">
        <v>45994</v>
      </c>
      <c r="C293" s="109">
        <v>8800250592445</v>
      </c>
      <c r="D293" s="74" t="s">
        <v>485</v>
      </c>
      <c r="E293" s="77" t="s">
        <v>102</v>
      </c>
      <c r="F293" s="19">
        <v>22</v>
      </c>
      <c r="G293" s="93" t="s">
        <v>486</v>
      </c>
      <c r="H293" s="92" t="s">
        <v>103</v>
      </c>
      <c r="I293" s="77"/>
      <c r="J293" s="19" t="s">
        <v>116</v>
      </c>
      <c r="K293" s="77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ht="30" customHeight="1">
      <c r="A294" s="16">
        <v>293</v>
      </c>
      <c r="B294" s="73">
        <v>45994</v>
      </c>
      <c r="C294" s="109">
        <v>8800250592452</v>
      </c>
      <c r="D294" s="74" t="s">
        <v>487</v>
      </c>
      <c r="E294" s="77" t="s">
        <v>102</v>
      </c>
      <c r="F294" s="19">
        <v>22</v>
      </c>
      <c r="G294" s="93" t="s">
        <v>486</v>
      </c>
      <c r="H294" s="92" t="s">
        <v>103</v>
      </c>
      <c r="I294" s="77"/>
      <c r="J294" s="19" t="s">
        <v>116</v>
      </c>
      <c r="K294" s="77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ht="30" customHeight="1">
      <c r="A295" s="16">
        <v>294</v>
      </c>
      <c r="B295" s="73">
        <v>45994</v>
      </c>
      <c r="C295" s="109">
        <v>8800250592469</v>
      </c>
      <c r="D295" s="74" t="s">
        <v>488</v>
      </c>
      <c r="E295" s="77" t="s">
        <v>102</v>
      </c>
      <c r="F295" s="19">
        <v>22</v>
      </c>
      <c r="G295" s="93" t="s">
        <v>486</v>
      </c>
      <c r="H295" s="92" t="s">
        <v>103</v>
      </c>
      <c r="I295" s="77"/>
      <c r="J295" s="19" t="s">
        <v>116</v>
      </c>
      <c r="K295" s="77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ht="30" customHeight="1">
      <c r="A296" s="16">
        <v>295</v>
      </c>
      <c r="B296" s="73">
        <v>45994</v>
      </c>
      <c r="C296" s="109">
        <v>8800250592476</v>
      </c>
      <c r="D296" s="74" t="s">
        <v>489</v>
      </c>
      <c r="E296" s="77" t="s">
        <v>102</v>
      </c>
      <c r="F296" s="19">
        <v>22</v>
      </c>
      <c r="G296" s="93" t="s">
        <v>486</v>
      </c>
      <c r="H296" s="92" t="s">
        <v>103</v>
      </c>
      <c r="I296" s="77"/>
      <c r="J296" s="19" t="s">
        <v>116</v>
      </c>
      <c r="K296" s="77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ht="30" customHeight="1">
      <c r="A297" s="16">
        <v>296</v>
      </c>
      <c r="B297" s="73">
        <v>45995</v>
      </c>
      <c r="C297" s="109">
        <v>8809237070990</v>
      </c>
      <c r="D297" s="74" t="s">
        <v>490</v>
      </c>
      <c r="E297" s="77" t="s">
        <v>178</v>
      </c>
      <c r="F297" s="19">
        <v>563</v>
      </c>
      <c r="G297" s="93" t="s">
        <v>491</v>
      </c>
      <c r="H297" s="92" t="s">
        <v>103</v>
      </c>
      <c r="I297" s="77"/>
      <c r="J297" s="19" t="s">
        <v>109</v>
      </c>
      <c r="K297" s="77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ht="30" customHeight="1">
      <c r="A298" s="16">
        <v>297</v>
      </c>
      <c r="B298" s="73">
        <v>45995</v>
      </c>
      <c r="C298" s="109">
        <v>8809237071010</v>
      </c>
      <c r="D298" s="74" t="s">
        <v>492</v>
      </c>
      <c r="E298" s="77" t="s">
        <v>178</v>
      </c>
      <c r="F298" s="19">
        <v>563</v>
      </c>
      <c r="G298" s="93" t="s">
        <v>491</v>
      </c>
      <c r="H298" s="92" t="s">
        <v>103</v>
      </c>
      <c r="I298" s="77"/>
      <c r="J298" s="19" t="s">
        <v>109</v>
      </c>
      <c r="K298" s="77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ht="30" customHeight="1">
      <c r="A299" s="16">
        <v>298</v>
      </c>
      <c r="B299" s="73">
        <v>46023</v>
      </c>
      <c r="C299" s="109">
        <v>8936233680639</v>
      </c>
      <c r="D299" s="74" t="s">
        <v>493</v>
      </c>
      <c r="E299" s="77" t="s">
        <v>178</v>
      </c>
      <c r="F299" s="19">
        <v>28</v>
      </c>
      <c r="G299" s="93" t="s">
        <v>494</v>
      </c>
      <c r="H299" s="92" t="s">
        <v>103</v>
      </c>
      <c r="I299" s="77"/>
      <c r="J299" s="19" t="s">
        <v>278</v>
      </c>
      <c r="K299" s="77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ht="30" customHeight="1">
      <c r="A300" s="16">
        <v>299</v>
      </c>
      <c r="B300" s="73">
        <v>46023</v>
      </c>
      <c r="C300" s="109">
        <v>8936233680646</v>
      </c>
      <c r="D300" s="74" t="s">
        <v>495</v>
      </c>
      <c r="E300" s="77" t="s">
        <v>178</v>
      </c>
      <c r="F300" s="19">
        <v>28</v>
      </c>
      <c r="G300" s="93" t="s">
        <v>494</v>
      </c>
      <c r="H300" s="92" t="s">
        <v>103</v>
      </c>
      <c r="I300" s="77"/>
      <c r="J300" s="19" t="s">
        <v>278</v>
      </c>
      <c r="K300" s="77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ht="30" customHeight="1">
      <c r="A301" s="16">
        <v>300</v>
      </c>
      <c r="B301" s="73">
        <v>46023</v>
      </c>
      <c r="C301" s="109">
        <v>8936233680622</v>
      </c>
      <c r="D301" s="74" t="s">
        <v>496</v>
      </c>
      <c r="E301" s="77" t="s">
        <v>178</v>
      </c>
      <c r="F301" s="19">
        <v>28</v>
      </c>
      <c r="G301" s="93" t="s">
        <v>494</v>
      </c>
      <c r="H301" s="92" t="s">
        <v>103</v>
      </c>
      <c r="I301" s="77"/>
      <c r="J301" s="19" t="s">
        <v>278</v>
      </c>
      <c r="K301" s="77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ht="30" customHeight="1">
      <c r="A302" s="16">
        <v>301</v>
      </c>
      <c r="B302" s="73">
        <v>46035</v>
      </c>
      <c r="C302" s="109">
        <v>8809882040157</v>
      </c>
      <c r="D302" s="74" t="s">
        <v>497</v>
      </c>
      <c r="E302" s="77" t="s">
        <v>102</v>
      </c>
      <c r="F302" s="19">
        <v>140</v>
      </c>
      <c r="G302" s="93" t="s">
        <v>498</v>
      </c>
      <c r="H302" s="92" t="s">
        <v>103</v>
      </c>
      <c r="I302" s="77"/>
      <c r="J302" s="19" t="s">
        <v>116</v>
      </c>
      <c r="K302" s="77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ht="30" customHeight="1">
      <c r="A303" s="16">
        <v>302</v>
      </c>
      <c r="B303" s="73">
        <v>46035</v>
      </c>
      <c r="C303" s="109">
        <v>8809882040171</v>
      </c>
      <c r="D303" s="74" t="s">
        <v>499</v>
      </c>
      <c r="E303" s="77" t="s">
        <v>102</v>
      </c>
      <c r="F303" s="19">
        <v>120</v>
      </c>
      <c r="G303" s="93" t="s">
        <v>498</v>
      </c>
      <c r="H303" s="92" t="s">
        <v>103</v>
      </c>
      <c r="I303" s="77"/>
      <c r="J303" s="19" t="s">
        <v>116</v>
      </c>
      <c r="K303" s="77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ht="30" customHeight="1">
      <c r="A304" s="16">
        <v>303</v>
      </c>
      <c r="B304" s="73">
        <v>46035</v>
      </c>
      <c r="C304" s="109">
        <v>8809882040201</v>
      </c>
      <c r="D304" s="74" t="s">
        <v>500</v>
      </c>
      <c r="E304" s="77" t="s">
        <v>102</v>
      </c>
      <c r="F304" s="19">
        <v>45</v>
      </c>
      <c r="G304" s="93" t="s">
        <v>501</v>
      </c>
      <c r="H304" s="92" t="s">
        <v>103</v>
      </c>
      <c r="I304" s="77"/>
      <c r="J304" s="19" t="s">
        <v>116</v>
      </c>
      <c r="K304" s="77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ht="30" customHeight="1">
      <c r="A305" s="16">
        <v>304</v>
      </c>
      <c r="B305" s="73">
        <v>46035</v>
      </c>
      <c r="C305" s="109">
        <v>8936233680530</v>
      </c>
      <c r="D305" s="74" t="s">
        <v>502</v>
      </c>
      <c r="E305" s="77" t="s">
        <v>102</v>
      </c>
      <c r="F305" s="19">
        <v>120</v>
      </c>
      <c r="G305" s="93" t="s">
        <v>503</v>
      </c>
      <c r="H305" s="92" t="s">
        <v>103</v>
      </c>
      <c r="I305" s="92"/>
      <c r="J305" s="19" t="s">
        <v>109</v>
      </c>
      <c r="K305" s="77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ht="30" customHeight="1">
      <c r="A306" s="16">
        <v>305</v>
      </c>
      <c r="B306" s="73">
        <v>46041</v>
      </c>
      <c r="C306" s="109">
        <v>8936233680615</v>
      </c>
      <c r="D306" s="74" t="s">
        <v>504</v>
      </c>
      <c r="E306" s="77" t="s">
        <v>178</v>
      </c>
      <c r="F306" s="19">
        <v>360</v>
      </c>
      <c r="G306" s="93" t="s">
        <v>505</v>
      </c>
      <c r="H306" s="92" t="s">
        <v>103</v>
      </c>
      <c r="I306" s="77"/>
      <c r="J306" s="19" t="s">
        <v>278</v>
      </c>
      <c r="K306" s="77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ht="30" customHeight="1">
      <c r="A307" s="16">
        <v>306</v>
      </c>
      <c r="B307" s="73">
        <v>46045</v>
      </c>
      <c r="C307" s="109">
        <v>8936233680653</v>
      </c>
      <c r="D307" s="74" t="s">
        <v>506</v>
      </c>
      <c r="E307" s="77" t="s">
        <v>178</v>
      </c>
      <c r="F307" s="19">
        <v>22</v>
      </c>
      <c r="G307" s="93" t="s">
        <v>478</v>
      </c>
      <c r="H307" s="92" t="s">
        <v>103</v>
      </c>
      <c r="I307" s="77"/>
      <c r="J307" s="19" t="s">
        <v>278</v>
      </c>
      <c r="K307" s="77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s="47" customFormat="1" ht="30" customHeight="1">
      <c r="A308" s="22">
        <v>307</v>
      </c>
      <c r="B308" s="62">
        <v>45684</v>
      </c>
      <c r="C308" s="110">
        <v>8800287490592</v>
      </c>
      <c r="D308" s="44" t="s">
        <v>507</v>
      </c>
      <c r="E308" s="72" t="s">
        <v>102</v>
      </c>
      <c r="F308" s="26">
        <v>130</v>
      </c>
      <c r="G308" s="70" t="s">
        <v>508</v>
      </c>
      <c r="H308" s="20" t="s">
        <v>103</v>
      </c>
      <c r="I308" s="72"/>
      <c r="J308" s="26" t="s">
        <v>109</v>
      </c>
      <c r="K308" s="72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s="47" customFormat="1" ht="30" customHeight="1">
      <c r="A309" s="22">
        <v>308</v>
      </c>
      <c r="B309" s="62">
        <v>45684</v>
      </c>
      <c r="C309" s="110">
        <v>8800287490585</v>
      </c>
      <c r="D309" s="44" t="s">
        <v>509</v>
      </c>
      <c r="E309" s="72" t="s">
        <v>102</v>
      </c>
      <c r="F309" s="26">
        <v>130</v>
      </c>
      <c r="G309" s="70" t="s">
        <v>508</v>
      </c>
      <c r="H309" s="20" t="s">
        <v>103</v>
      </c>
      <c r="I309" s="72"/>
      <c r="J309" s="26" t="s">
        <v>109</v>
      </c>
      <c r="K309" s="72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30" customHeight="1">
      <c r="A310" s="49">
        <v>309</v>
      </c>
      <c r="B310" s="84">
        <v>46083</v>
      </c>
      <c r="C310" s="107">
        <v>8936233680707</v>
      </c>
      <c r="D310" s="85" t="s">
        <v>510</v>
      </c>
      <c r="E310" s="88" t="s">
        <v>102</v>
      </c>
      <c r="F310" s="89">
        <v>360</v>
      </c>
      <c r="G310" s="95" t="s">
        <v>505</v>
      </c>
      <c r="H310" s="54" t="s">
        <v>103</v>
      </c>
      <c r="I310" s="88"/>
      <c r="J310" s="89" t="s">
        <v>278</v>
      </c>
      <c r="K310" s="88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spans="1:32" ht="30" customHeight="1">
      <c r="A311" s="49">
        <v>310</v>
      </c>
      <c r="B311" s="84">
        <v>46086</v>
      </c>
      <c r="C311" s="102">
        <v>8936233680677</v>
      </c>
      <c r="D311" s="85" t="s">
        <v>511</v>
      </c>
      <c r="E311" s="88" t="s">
        <v>178</v>
      </c>
      <c r="F311" s="89">
        <v>15</v>
      </c>
      <c r="G311" s="95" t="s">
        <v>478</v>
      </c>
      <c r="H311" s="54" t="s">
        <v>103</v>
      </c>
      <c r="I311" s="88"/>
      <c r="J311" s="89" t="s">
        <v>278</v>
      </c>
      <c r="K311" s="88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spans="1:32" ht="15.75">
      <c r="A312" s="9"/>
      <c r="B312" s="10"/>
      <c r="C312" s="9"/>
      <c r="D312" s="9"/>
      <c r="E312" s="9"/>
      <c r="F312" s="9"/>
      <c r="G312" s="12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spans="1:32" ht="15.75">
      <c r="A313" s="9"/>
      <c r="B313" s="10"/>
      <c r="C313" s="9"/>
      <c r="D313" s="9"/>
      <c r="E313" s="9"/>
      <c r="F313" s="9"/>
      <c r="G313" s="12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spans="1:32" ht="15.75">
      <c r="A314" s="9"/>
      <c r="B314" s="10"/>
      <c r="C314" s="9"/>
      <c r="D314" s="9"/>
      <c r="E314" s="9"/>
      <c r="F314" s="9"/>
      <c r="G314" s="12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spans="1:32" ht="15.75">
      <c r="A315" s="9"/>
      <c r="B315" s="10"/>
      <c r="C315" s="9"/>
      <c r="D315" s="9"/>
      <c r="E315" s="9"/>
      <c r="F315" s="9"/>
      <c r="G315" s="9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spans="1:32" ht="15.75">
      <c r="A316" s="9"/>
      <c r="B316" s="10"/>
      <c r="C316" s="9"/>
      <c r="D316" s="9"/>
      <c r="E316" s="9"/>
      <c r="F316" s="9"/>
      <c r="G316" s="9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spans="1:32" ht="15.75">
      <c r="A317" s="9"/>
      <c r="B317" s="10"/>
      <c r="C317" s="9"/>
      <c r="D317" s="9"/>
      <c r="E317" s="9"/>
      <c r="F317" s="9"/>
      <c r="G317" s="12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spans="1:32" ht="15.75">
      <c r="A318" s="9"/>
      <c r="B318" s="10"/>
      <c r="C318" s="9"/>
      <c r="D318" s="9"/>
      <c r="E318" s="9"/>
      <c r="F318" s="9"/>
      <c r="G318" s="12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spans="1:32" ht="15.75">
      <c r="A319" s="9"/>
      <c r="B319" s="10"/>
      <c r="C319" s="9"/>
      <c r="D319" s="9"/>
      <c r="E319" s="9"/>
      <c r="F319" s="9"/>
      <c r="G319" s="12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spans="1:32" ht="15.75">
      <c r="A320" s="9"/>
      <c r="B320" s="10"/>
      <c r="C320" s="9"/>
      <c r="D320" s="9"/>
      <c r="E320" s="9"/>
      <c r="F320" s="9"/>
      <c r="G320" s="12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spans="1:32" ht="15.75">
      <c r="A321" s="9"/>
      <c r="B321" s="10"/>
      <c r="C321" s="9"/>
      <c r="D321" s="9"/>
      <c r="E321" s="9"/>
      <c r="F321" s="9"/>
      <c r="G321" s="12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spans="1:32" ht="15.75">
      <c r="A322" s="9"/>
      <c r="B322" s="10"/>
      <c r="C322" s="9"/>
      <c r="D322" s="9"/>
      <c r="E322" s="9"/>
      <c r="F322" s="9"/>
      <c r="G322" s="12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spans="1:32" ht="15.75">
      <c r="A323" s="9"/>
      <c r="B323" s="10"/>
      <c r="C323" s="9"/>
      <c r="D323" s="9"/>
      <c r="E323" s="9"/>
      <c r="F323" s="9"/>
      <c r="G323" s="12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spans="1:32" ht="15.75">
      <c r="A324" s="9"/>
      <c r="B324" s="10"/>
      <c r="C324" s="9"/>
      <c r="D324" s="9"/>
      <c r="E324" s="9"/>
      <c r="F324" s="9"/>
      <c r="G324" s="12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spans="1:32" ht="15.75">
      <c r="A325" s="9"/>
      <c r="B325" s="10"/>
      <c r="C325" s="9"/>
      <c r="D325" s="9"/>
      <c r="E325" s="9"/>
      <c r="F325" s="9"/>
      <c r="G325" s="12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spans="1:32" ht="15.75">
      <c r="A326" s="9"/>
      <c r="B326" s="10"/>
      <c r="C326" s="9"/>
      <c r="D326" s="9"/>
      <c r="E326" s="9"/>
      <c r="F326" s="9"/>
      <c r="G326" s="12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spans="1:32" ht="15.75">
      <c r="A327" s="9"/>
      <c r="B327" s="10"/>
      <c r="C327" s="9"/>
      <c r="D327" s="9"/>
      <c r="E327" s="9"/>
      <c r="F327" s="9"/>
      <c r="G327" s="12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spans="1:32" ht="15.75">
      <c r="A328" s="9"/>
      <c r="B328" s="10"/>
      <c r="C328" s="9"/>
      <c r="D328" s="9"/>
      <c r="E328" s="9"/>
      <c r="F328" s="9"/>
      <c r="G328" s="12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spans="1:32" ht="15.75">
      <c r="A329" s="9"/>
      <c r="B329" s="10"/>
      <c r="C329" s="9"/>
      <c r="D329" s="9"/>
      <c r="E329" s="9"/>
      <c r="F329" s="9"/>
      <c r="G329" s="1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spans="1:32" ht="15.75">
      <c r="A330" s="9"/>
      <c r="B330" s="10"/>
      <c r="C330" s="9"/>
      <c r="D330" s="9"/>
      <c r="E330" s="9"/>
      <c r="F330" s="9"/>
      <c r="G330" s="12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spans="1:32" ht="15.75">
      <c r="A331" s="9"/>
      <c r="B331" s="10"/>
      <c r="C331" s="9"/>
      <c r="D331" s="9"/>
      <c r="E331" s="9"/>
      <c r="F331" s="9"/>
      <c r="G331" s="12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spans="1:32" ht="15.75">
      <c r="A332" s="9"/>
      <c r="B332" s="10"/>
      <c r="C332" s="9"/>
      <c r="D332" s="9"/>
      <c r="E332" s="9"/>
      <c r="F332" s="9"/>
      <c r="G332" s="12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spans="1:32" ht="15.75">
      <c r="A333" s="9"/>
      <c r="B333" s="10"/>
      <c r="C333" s="9"/>
      <c r="D333" s="9"/>
      <c r="E333" s="9"/>
      <c r="F333" s="9"/>
      <c r="G333" s="12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spans="1:32" ht="15.75">
      <c r="A334" s="9"/>
      <c r="B334" s="10"/>
      <c r="C334" s="9"/>
      <c r="D334" s="9"/>
      <c r="E334" s="9"/>
      <c r="F334" s="9"/>
      <c r="G334" s="12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spans="1:32" ht="15.75">
      <c r="A335" s="9"/>
      <c r="B335" s="10"/>
      <c r="C335" s="9"/>
      <c r="D335" s="9"/>
      <c r="E335" s="9"/>
      <c r="F335" s="9"/>
      <c r="G335" s="12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spans="1:32" ht="15.75">
      <c r="A336" s="9"/>
      <c r="B336" s="10"/>
      <c r="C336" s="9"/>
      <c r="D336" s="9"/>
      <c r="E336" s="9"/>
      <c r="F336" s="9"/>
      <c r="G336" s="12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spans="1:32" ht="15.75">
      <c r="A337" s="9"/>
      <c r="B337" s="10"/>
      <c r="C337" s="9"/>
      <c r="D337" s="9"/>
      <c r="E337" s="9"/>
      <c r="F337" s="9"/>
      <c r="G337" s="12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spans="1:32" ht="15.75">
      <c r="A338" s="9"/>
      <c r="B338" s="10"/>
      <c r="C338" s="9"/>
      <c r="D338" s="9"/>
      <c r="E338" s="9"/>
      <c r="F338" s="9"/>
      <c r="G338" s="12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spans="1:32" ht="15.75">
      <c r="A339" s="9"/>
      <c r="B339" s="10"/>
      <c r="C339" s="9"/>
      <c r="D339" s="9"/>
      <c r="E339" s="9"/>
      <c r="F339" s="9"/>
      <c r="G339" s="12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spans="1:32" ht="15.75">
      <c r="A340" s="9"/>
      <c r="B340" s="10"/>
      <c r="C340" s="9"/>
      <c r="D340" s="9"/>
      <c r="E340" s="9"/>
      <c r="F340" s="9"/>
      <c r="G340" s="12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spans="1:32" ht="15.75">
      <c r="A341" s="9"/>
      <c r="B341" s="10"/>
      <c r="C341" s="9"/>
      <c r="D341" s="9"/>
      <c r="E341" s="9"/>
      <c r="F341" s="9"/>
      <c r="G341" s="12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spans="1:32" ht="15.75">
      <c r="A342" s="9"/>
      <c r="B342" s="10"/>
      <c r="C342" s="9"/>
      <c r="D342" s="9"/>
      <c r="E342" s="9"/>
      <c r="F342" s="9"/>
      <c r="G342" s="12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spans="1:32" ht="15.75">
      <c r="A343" s="9"/>
      <c r="B343" s="10"/>
      <c r="C343" s="9"/>
      <c r="D343" s="9"/>
      <c r="E343" s="9"/>
      <c r="F343" s="9"/>
      <c r="G343" s="12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spans="1:32" ht="15.75">
      <c r="A344" s="9"/>
      <c r="B344" s="10"/>
      <c r="C344" s="9"/>
      <c r="D344" s="9"/>
      <c r="E344" s="9"/>
      <c r="F344" s="9"/>
      <c r="G344" s="12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spans="1:32" ht="15.75">
      <c r="A345" s="9"/>
      <c r="B345" s="10"/>
      <c r="C345" s="9"/>
      <c r="D345" s="9"/>
      <c r="E345" s="9"/>
      <c r="F345" s="9"/>
      <c r="G345" s="12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spans="1:32" ht="15.75">
      <c r="A346" s="9"/>
      <c r="B346" s="10"/>
      <c r="C346" s="9"/>
      <c r="D346" s="9"/>
      <c r="E346" s="9"/>
      <c r="F346" s="9"/>
      <c r="G346" s="1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spans="1:32" ht="15.75">
      <c r="A347" s="9"/>
      <c r="B347" s="10"/>
      <c r="C347" s="9"/>
      <c r="D347" s="9"/>
      <c r="E347" s="9"/>
      <c r="F347" s="9"/>
      <c r="G347" s="12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spans="1:32" ht="15.75">
      <c r="A348" s="9"/>
      <c r="B348" s="10"/>
      <c r="C348" s="9"/>
      <c r="D348" s="9"/>
      <c r="E348" s="9"/>
      <c r="F348" s="9"/>
      <c r="G348" s="12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spans="1:32" ht="15.75">
      <c r="A349" s="9"/>
      <c r="B349" s="10"/>
      <c r="C349" s="9"/>
      <c r="D349" s="9"/>
      <c r="E349" s="9"/>
      <c r="F349" s="9"/>
      <c r="G349" s="12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spans="1:32" ht="15.75">
      <c r="A350" s="9"/>
      <c r="B350" s="10"/>
      <c r="C350" s="9"/>
      <c r="D350" s="9"/>
      <c r="E350" s="9"/>
      <c r="F350" s="9"/>
      <c r="G350" s="12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spans="1:32" ht="15.75">
      <c r="A351" s="9"/>
      <c r="B351" s="10"/>
      <c r="C351" s="9"/>
      <c r="D351" s="9"/>
      <c r="E351" s="9"/>
      <c r="F351" s="9"/>
      <c r="G351" s="12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spans="1:32" ht="15.75">
      <c r="A352" s="9"/>
      <c r="B352" s="10"/>
      <c r="C352" s="9"/>
      <c r="D352" s="9"/>
      <c r="E352" s="9"/>
      <c r="F352" s="9"/>
      <c r="G352" s="12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spans="1:32" ht="15.75">
      <c r="A353" s="9"/>
      <c r="B353" s="10"/>
      <c r="C353" s="9"/>
      <c r="D353" s="9"/>
      <c r="E353" s="9"/>
      <c r="F353" s="9"/>
      <c r="G353" s="12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spans="1:32" ht="15.75">
      <c r="A354" s="9"/>
      <c r="B354" s="10"/>
      <c r="C354" s="9"/>
      <c r="D354" s="9"/>
      <c r="E354" s="9"/>
      <c r="F354" s="9"/>
      <c r="G354" s="12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spans="1:32" ht="15.75">
      <c r="A355" s="9"/>
      <c r="B355" s="10"/>
      <c r="C355" s="9"/>
      <c r="D355" s="9"/>
      <c r="E355" s="9"/>
      <c r="F355" s="9"/>
      <c r="G355" s="12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spans="1:32" ht="15.75">
      <c r="A356" s="9"/>
      <c r="B356" s="10"/>
      <c r="C356" s="9"/>
      <c r="D356" s="9"/>
      <c r="E356" s="9"/>
      <c r="F356" s="9"/>
      <c r="G356" s="12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spans="1:32" ht="15.75">
      <c r="A357" s="9"/>
      <c r="B357" s="10"/>
      <c r="C357" s="9"/>
      <c r="D357" s="9"/>
      <c r="E357" s="9"/>
      <c r="F357" s="9"/>
      <c r="G357" s="12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spans="1:32" ht="15.75">
      <c r="A358" s="9"/>
      <c r="B358" s="10"/>
      <c r="C358" s="9"/>
      <c r="D358" s="9"/>
      <c r="E358" s="9"/>
      <c r="F358" s="9"/>
      <c r="G358" s="12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spans="1:32" ht="15.75">
      <c r="A359" s="9"/>
      <c r="B359" s="10"/>
      <c r="C359" s="9"/>
      <c r="D359" s="9"/>
      <c r="E359" s="9"/>
      <c r="F359" s="9"/>
      <c r="G359" s="12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spans="1:32" ht="15.75">
      <c r="A360" s="9"/>
      <c r="B360" s="10"/>
      <c r="C360" s="9"/>
      <c r="D360" s="9"/>
      <c r="E360" s="9"/>
      <c r="F360" s="9"/>
      <c r="G360" s="12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spans="1:32" ht="15.75">
      <c r="A361" s="9"/>
      <c r="B361" s="10"/>
      <c r="C361" s="9"/>
      <c r="D361" s="9"/>
      <c r="E361" s="9"/>
      <c r="F361" s="9"/>
      <c r="G361" s="12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spans="1:32" ht="15.75">
      <c r="A362" s="9"/>
      <c r="B362" s="10"/>
      <c r="C362" s="9"/>
      <c r="D362" s="9"/>
      <c r="E362" s="9"/>
      <c r="F362" s="9"/>
      <c r="G362" s="12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spans="1:32" ht="15.75">
      <c r="A363" s="9"/>
      <c r="B363" s="10"/>
      <c r="C363" s="9"/>
      <c r="D363" s="9"/>
      <c r="E363" s="9"/>
      <c r="F363" s="9"/>
      <c r="G363" s="1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ht="15.75">
      <c r="A364" s="9"/>
      <c r="B364" s="10"/>
      <c r="C364" s="9"/>
      <c r="D364" s="9"/>
      <c r="E364" s="9"/>
      <c r="F364" s="9"/>
      <c r="G364" s="12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ht="15.75">
      <c r="A365" s="9"/>
      <c r="B365" s="10"/>
      <c r="C365" s="9"/>
      <c r="D365" s="9"/>
      <c r="E365" s="9"/>
      <c r="F365" s="9"/>
      <c r="G365" s="12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ht="15.75">
      <c r="A366" s="9"/>
      <c r="B366" s="10"/>
      <c r="C366" s="9"/>
      <c r="D366" s="9"/>
      <c r="E366" s="9"/>
      <c r="F366" s="9"/>
      <c r="G366" s="12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ht="15.75">
      <c r="A367" s="9"/>
      <c r="B367" s="10"/>
      <c r="C367" s="9"/>
      <c r="D367" s="9"/>
      <c r="E367" s="9"/>
      <c r="F367" s="9"/>
      <c r="G367" s="12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ht="15.75">
      <c r="A368" s="9"/>
      <c r="B368" s="10"/>
      <c r="C368" s="9"/>
      <c r="D368" s="9"/>
      <c r="E368" s="9"/>
      <c r="F368" s="9"/>
      <c r="G368" s="12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ht="15.75">
      <c r="A369" s="9"/>
      <c r="B369" s="10"/>
      <c r="C369" s="9"/>
      <c r="D369" s="9"/>
      <c r="E369" s="9"/>
      <c r="F369" s="9"/>
      <c r="G369" s="12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ht="15.75">
      <c r="A370" s="9"/>
      <c r="B370" s="10"/>
      <c r="C370" s="9"/>
      <c r="D370" s="9"/>
      <c r="E370" s="9"/>
      <c r="F370" s="9"/>
      <c r="G370" s="12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ht="15.75">
      <c r="A371" s="9"/>
      <c r="B371" s="10"/>
      <c r="C371" s="9"/>
      <c r="D371" s="9"/>
      <c r="E371" s="9"/>
      <c r="F371" s="9"/>
      <c r="G371" s="12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ht="15.75">
      <c r="A372" s="9"/>
      <c r="B372" s="10"/>
      <c r="C372" s="9"/>
      <c r="D372" s="9"/>
      <c r="E372" s="9"/>
      <c r="F372" s="9"/>
      <c r="G372" s="12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ht="15.75">
      <c r="A373" s="9"/>
      <c r="B373" s="10"/>
      <c r="C373" s="9"/>
      <c r="D373" s="9"/>
      <c r="E373" s="9"/>
      <c r="F373" s="9"/>
      <c r="G373" s="12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ht="15.75">
      <c r="A374" s="9"/>
      <c r="B374" s="10"/>
      <c r="C374" s="9"/>
      <c r="D374" s="9"/>
      <c r="E374" s="9"/>
      <c r="F374" s="9"/>
      <c r="G374" s="12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ht="15.75">
      <c r="A375" s="9"/>
      <c r="B375" s="10"/>
      <c r="C375" s="9"/>
      <c r="D375" s="9"/>
      <c r="E375" s="9"/>
      <c r="F375" s="9"/>
      <c r="G375" s="12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ht="15.75">
      <c r="A376" s="9"/>
      <c r="B376" s="10"/>
      <c r="C376" s="9"/>
      <c r="D376" s="9"/>
      <c r="E376" s="9"/>
      <c r="F376" s="9"/>
      <c r="G376" s="12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ht="15.75">
      <c r="A377" s="9"/>
      <c r="B377" s="10"/>
      <c r="C377" s="9"/>
      <c r="D377" s="9"/>
      <c r="E377" s="9"/>
      <c r="F377" s="9"/>
      <c r="G377" s="12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ht="15.75">
      <c r="A378" s="9"/>
      <c r="B378" s="10"/>
      <c r="C378" s="9"/>
      <c r="D378" s="9"/>
      <c r="E378" s="9"/>
      <c r="F378" s="9"/>
      <c r="G378" s="12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ht="15.75">
      <c r="A379" s="9"/>
      <c r="B379" s="10"/>
      <c r="C379" s="9"/>
      <c r="D379" s="9"/>
      <c r="E379" s="9"/>
      <c r="F379" s="9"/>
      <c r="G379" s="12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ht="15.75">
      <c r="A380" s="9"/>
      <c r="B380" s="10"/>
      <c r="C380" s="9"/>
      <c r="D380" s="9"/>
      <c r="E380" s="9"/>
      <c r="F380" s="9"/>
      <c r="G380" s="12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ht="15.75">
      <c r="A381" s="9"/>
      <c r="B381" s="10"/>
      <c r="C381" s="9"/>
      <c r="D381" s="9"/>
      <c r="E381" s="9"/>
      <c r="F381" s="9"/>
      <c r="G381" s="12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ht="15.75">
      <c r="A382" s="9"/>
      <c r="B382" s="10"/>
      <c r="C382" s="9"/>
      <c r="D382" s="9"/>
      <c r="E382" s="9"/>
      <c r="F382" s="9"/>
      <c r="G382" s="12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ht="15.75">
      <c r="A383" s="9"/>
      <c r="B383" s="10"/>
      <c r="C383" s="9"/>
      <c r="D383" s="9"/>
      <c r="E383" s="9"/>
      <c r="F383" s="9"/>
      <c r="G383" s="12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ht="15.75">
      <c r="A384" s="9"/>
      <c r="B384" s="10"/>
      <c r="C384" s="9"/>
      <c r="D384" s="9"/>
      <c r="E384" s="9"/>
      <c r="F384" s="9"/>
      <c r="G384" s="12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ht="15.75">
      <c r="A385" s="9"/>
      <c r="B385" s="10"/>
      <c r="C385" s="9"/>
      <c r="D385" s="9"/>
      <c r="E385" s="9"/>
      <c r="F385" s="9"/>
      <c r="G385" s="12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ht="15.75">
      <c r="A386" s="9"/>
      <c r="B386" s="10"/>
      <c r="C386" s="9"/>
      <c r="D386" s="9"/>
      <c r="E386" s="9"/>
      <c r="F386" s="9"/>
      <c r="G386" s="12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ht="15.75">
      <c r="A387" s="9"/>
      <c r="B387" s="10"/>
      <c r="C387" s="9"/>
      <c r="D387" s="9"/>
      <c r="E387" s="9"/>
      <c r="F387" s="9"/>
      <c r="G387" s="12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ht="15.75">
      <c r="A388" s="9"/>
      <c r="B388" s="10"/>
      <c r="C388" s="9"/>
      <c r="D388" s="9"/>
      <c r="E388" s="9"/>
      <c r="F388" s="9"/>
      <c r="G388" s="12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ht="15.75">
      <c r="A389" s="9"/>
      <c r="B389" s="10"/>
      <c r="C389" s="9"/>
      <c r="D389" s="9"/>
      <c r="E389" s="9"/>
      <c r="F389" s="9"/>
      <c r="G389" s="12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ht="15.75">
      <c r="A390" s="9"/>
      <c r="B390" s="10"/>
      <c r="C390" s="9"/>
      <c r="D390" s="9"/>
      <c r="E390" s="9"/>
      <c r="F390" s="9"/>
      <c r="G390" s="12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ht="15.75">
      <c r="A391" s="9"/>
      <c r="B391" s="10"/>
      <c r="C391" s="9"/>
      <c r="D391" s="9"/>
      <c r="E391" s="9"/>
      <c r="F391" s="9"/>
      <c r="G391" s="12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ht="15.75">
      <c r="A392" s="9"/>
      <c r="B392" s="10"/>
      <c r="C392" s="9"/>
      <c r="D392" s="9"/>
      <c r="E392" s="9"/>
      <c r="F392" s="9"/>
      <c r="G392" s="12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ht="15.75">
      <c r="A393" s="9"/>
      <c r="B393" s="10"/>
      <c r="C393" s="9"/>
      <c r="D393" s="9"/>
      <c r="E393" s="9"/>
      <c r="F393" s="9"/>
      <c r="G393" s="12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ht="15.75">
      <c r="A394" s="9"/>
      <c r="B394" s="10"/>
      <c r="C394" s="9"/>
      <c r="D394" s="9"/>
      <c r="E394" s="9"/>
      <c r="F394" s="9"/>
      <c r="G394" s="12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ht="15.75">
      <c r="A395" s="9"/>
      <c r="B395" s="10"/>
      <c r="C395" s="9"/>
      <c r="D395" s="9"/>
      <c r="E395" s="9"/>
      <c r="F395" s="9"/>
      <c r="G395" s="12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ht="15.75">
      <c r="A396" s="9"/>
      <c r="B396" s="10"/>
      <c r="C396" s="9"/>
      <c r="D396" s="9"/>
      <c r="E396" s="9"/>
      <c r="F396" s="9"/>
      <c r="G396" s="12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ht="15.75">
      <c r="A397" s="9"/>
      <c r="B397" s="10"/>
      <c r="C397" s="9"/>
      <c r="D397" s="9"/>
      <c r="E397" s="9"/>
      <c r="F397" s="9"/>
      <c r="G397" s="12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ht="15.75">
      <c r="A398" s="9"/>
      <c r="B398" s="10"/>
      <c r="C398" s="9"/>
      <c r="D398" s="9"/>
      <c r="E398" s="9"/>
      <c r="F398" s="9"/>
      <c r="G398" s="12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ht="15.75">
      <c r="A399" s="9"/>
      <c r="B399" s="10"/>
      <c r="C399" s="9"/>
      <c r="D399" s="9"/>
      <c r="E399" s="9"/>
      <c r="F399" s="9"/>
      <c r="G399" s="12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ht="15.75">
      <c r="A400" s="9"/>
      <c r="B400" s="10"/>
      <c r="C400" s="9"/>
      <c r="D400" s="9"/>
      <c r="E400" s="9"/>
      <c r="F400" s="9"/>
      <c r="G400" s="12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ht="15.75">
      <c r="A401" s="9"/>
      <c r="B401" s="10"/>
      <c r="C401" s="9"/>
      <c r="D401" s="9"/>
      <c r="E401" s="9"/>
      <c r="F401" s="9"/>
      <c r="G401" s="12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ht="15.75">
      <c r="A402" s="9"/>
      <c r="B402" s="10"/>
      <c r="C402" s="9"/>
      <c r="D402" s="9"/>
      <c r="E402" s="9"/>
      <c r="F402" s="9"/>
      <c r="G402" s="12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ht="15.75">
      <c r="A403" s="9"/>
      <c r="B403" s="10"/>
      <c r="C403" s="9"/>
      <c r="D403" s="9"/>
      <c r="E403" s="9"/>
      <c r="F403" s="9"/>
      <c r="G403" s="12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ht="15.75">
      <c r="A404" s="9"/>
      <c r="B404" s="10"/>
      <c r="C404" s="9"/>
      <c r="D404" s="9"/>
      <c r="E404" s="9"/>
      <c r="F404" s="9"/>
      <c r="G404" s="12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ht="15.75">
      <c r="A405" s="9"/>
      <c r="B405" s="10"/>
      <c r="C405" s="9"/>
      <c r="D405" s="9"/>
      <c r="E405" s="9"/>
      <c r="F405" s="9"/>
      <c r="G405" s="12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ht="15.75">
      <c r="A406" s="9"/>
      <c r="B406" s="10"/>
      <c r="C406" s="9"/>
      <c r="D406" s="9"/>
      <c r="E406" s="9"/>
      <c r="F406" s="9"/>
      <c r="G406" s="12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ht="15.75">
      <c r="A407" s="9"/>
      <c r="B407" s="10"/>
      <c r="C407" s="9"/>
      <c r="D407" s="9"/>
      <c r="E407" s="9"/>
      <c r="F407" s="9"/>
      <c r="G407" s="12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ht="15.75">
      <c r="A408" s="9"/>
      <c r="B408" s="10"/>
      <c r="C408" s="9"/>
      <c r="D408" s="9"/>
      <c r="E408" s="9"/>
      <c r="F408" s="9"/>
      <c r="G408" s="12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ht="15.75">
      <c r="A409" s="9"/>
      <c r="B409" s="10"/>
      <c r="C409" s="9"/>
      <c r="D409" s="9"/>
      <c r="E409" s="9"/>
      <c r="F409" s="9"/>
      <c r="G409" s="12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ht="15.75">
      <c r="A410" s="9"/>
      <c r="B410" s="10"/>
      <c r="C410" s="9"/>
      <c r="D410" s="9"/>
      <c r="E410" s="9"/>
      <c r="F410" s="9"/>
      <c r="G410" s="12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ht="15.75">
      <c r="A411" s="9"/>
      <c r="B411" s="10"/>
      <c r="C411" s="9"/>
      <c r="D411" s="9"/>
      <c r="E411" s="9"/>
      <c r="F411" s="9"/>
      <c r="G411" s="12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ht="15.75">
      <c r="A412" s="9"/>
      <c r="B412" s="10"/>
      <c r="C412" s="9"/>
      <c r="D412" s="9"/>
      <c r="E412" s="9"/>
      <c r="F412" s="9"/>
      <c r="G412" s="12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ht="15.75">
      <c r="A413" s="9"/>
      <c r="B413" s="10"/>
      <c r="C413" s="9"/>
      <c r="D413" s="9"/>
      <c r="E413" s="9"/>
      <c r="F413" s="9"/>
      <c r="G413" s="12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ht="15.75">
      <c r="A414" s="9"/>
      <c r="B414" s="10"/>
      <c r="C414" s="9"/>
      <c r="D414" s="9"/>
      <c r="E414" s="9"/>
      <c r="F414" s="9"/>
      <c r="G414" s="12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ht="15.75">
      <c r="A415" s="9"/>
      <c r="B415" s="10"/>
      <c r="C415" s="9"/>
      <c r="D415" s="9"/>
      <c r="E415" s="9"/>
      <c r="F415" s="9"/>
      <c r="G415" s="12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ht="15.75">
      <c r="A416" s="9"/>
      <c r="B416" s="10"/>
      <c r="C416" s="9"/>
      <c r="D416" s="9"/>
      <c r="E416" s="9"/>
      <c r="F416" s="9"/>
      <c r="G416" s="12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ht="15.75">
      <c r="A417" s="9"/>
      <c r="B417" s="10"/>
      <c r="C417" s="9"/>
      <c r="D417" s="9"/>
      <c r="E417" s="9"/>
      <c r="F417" s="9"/>
      <c r="G417" s="12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ht="15.75">
      <c r="A418" s="9"/>
      <c r="B418" s="10"/>
      <c r="C418" s="9"/>
      <c r="D418" s="9"/>
      <c r="E418" s="9"/>
      <c r="F418" s="9"/>
      <c r="G418" s="12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ht="15.75">
      <c r="A419" s="9"/>
      <c r="B419" s="10"/>
      <c r="C419" s="9"/>
      <c r="D419" s="9"/>
      <c r="E419" s="9"/>
      <c r="F419" s="9"/>
      <c r="G419" s="12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ht="15.75">
      <c r="A420" s="9"/>
      <c r="B420" s="10"/>
      <c r="C420" s="9"/>
      <c r="D420" s="9"/>
      <c r="E420" s="9"/>
      <c r="F420" s="9"/>
      <c r="G420" s="12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ht="15.75">
      <c r="A421" s="9"/>
      <c r="B421" s="10"/>
      <c r="C421" s="9"/>
      <c r="D421" s="9"/>
      <c r="E421" s="9"/>
      <c r="F421" s="9"/>
      <c r="G421" s="12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ht="15.75">
      <c r="A422" s="9"/>
      <c r="B422" s="10"/>
      <c r="C422" s="9"/>
      <c r="D422" s="9"/>
      <c r="E422" s="9"/>
      <c r="F422" s="9"/>
      <c r="G422" s="12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ht="15.75">
      <c r="A423" s="9"/>
      <c r="B423" s="10"/>
      <c r="C423" s="9"/>
      <c r="D423" s="9"/>
      <c r="E423" s="9"/>
      <c r="F423" s="9"/>
      <c r="G423" s="12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ht="15.75">
      <c r="A424" s="9"/>
      <c r="B424" s="10"/>
      <c r="C424" s="9"/>
      <c r="D424" s="9"/>
      <c r="E424" s="9"/>
      <c r="F424" s="9"/>
      <c r="G424" s="12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ht="15.75">
      <c r="A425" s="9"/>
      <c r="B425" s="10"/>
      <c r="C425" s="9"/>
      <c r="D425" s="9"/>
      <c r="E425" s="9"/>
      <c r="F425" s="9"/>
      <c r="G425" s="12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ht="15.75">
      <c r="A426" s="9"/>
      <c r="B426" s="10"/>
      <c r="C426" s="9"/>
      <c r="D426" s="9"/>
      <c r="E426" s="9"/>
      <c r="F426" s="9"/>
      <c r="G426" s="12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ht="15.75">
      <c r="A427" s="9"/>
      <c r="B427" s="10"/>
      <c r="C427" s="9"/>
      <c r="D427" s="9"/>
      <c r="E427" s="9"/>
      <c r="F427" s="9"/>
      <c r="G427" s="12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ht="15.75">
      <c r="A428" s="9"/>
      <c r="B428" s="10"/>
      <c r="C428" s="9"/>
      <c r="D428" s="9"/>
      <c r="E428" s="9"/>
      <c r="F428" s="9"/>
      <c r="G428" s="12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ht="15.75">
      <c r="A429" s="9"/>
      <c r="B429" s="10"/>
      <c r="C429" s="9"/>
      <c r="D429" s="9"/>
      <c r="E429" s="9"/>
      <c r="F429" s="9"/>
      <c r="G429" s="12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ht="15.75">
      <c r="A430" s="9"/>
      <c r="B430" s="10"/>
      <c r="C430" s="9"/>
      <c r="D430" s="9"/>
      <c r="E430" s="9"/>
      <c r="F430" s="9"/>
      <c r="G430" s="12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ht="15.75">
      <c r="A431" s="9"/>
      <c r="B431" s="10"/>
      <c r="C431" s="9"/>
      <c r="D431" s="9"/>
      <c r="E431" s="9"/>
      <c r="F431" s="9"/>
      <c r="G431" s="12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ht="15.75">
      <c r="A432" s="9"/>
      <c r="B432" s="10"/>
      <c r="C432" s="9"/>
      <c r="D432" s="9"/>
      <c r="E432" s="9"/>
      <c r="F432" s="9"/>
      <c r="G432" s="12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ht="15.75">
      <c r="A433" s="9"/>
      <c r="B433" s="10"/>
      <c r="C433" s="9"/>
      <c r="D433" s="9"/>
      <c r="E433" s="9"/>
      <c r="F433" s="9"/>
      <c r="G433" s="12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ht="15.75">
      <c r="A434" s="9"/>
      <c r="B434" s="10"/>
      <c r="C434" s="9"/>
      <c r="D434" s="9"/>
      <c r="E434" s="9"/>
      <c r="F434" s="9"/>
      <c r="G434" s="12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ht="15.75">
      <c r="A435" s="9"/>
      <c r="B435" s="10"/>
      <c r="C435" s="9"/>
      <c r="D435" s="9"/>
      <c r="E435" s="9"/>
      <c r="F435" s="9"/>
      <c r="G435" s="12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ht="15.75">
      <c r="A436" s="9"/>
      <c r="B436" s="10"/>
      <c r="C436" s="9"/>
      <c r="D436" s="9"/>
      <c r="E436" s="9"/>
      <c r="F436" s="9"/>
      <c r="G436" s="12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ht="15.75">
      <c r="A437" s="9"/>
      <c r="B437" s="10"/>
      <c r="C437" s="9"/>
      <c r="D437" s="9"/>
      <c r="E437" s="9"/>
      <c r="F437" s="9"/>
      <c r="G437" s="12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ht="15.75">
      <c r="A438" s="9"/>
      <c r="B438" s="10"/>
      <c r="C438" s="9"/>
      <c r="D438" s="9"/>
      <c r="E438" s="9"/>
      <c r="F438" s="9"/>
      <c r="G438" s="12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ht="15.75">
      <c r="A439" s="9"/>
      <c r="B439" s="10"/>
      <c r="C439" s="9"/>
      <c r="D439" s="9"/>
      <c r="E439" s="9"/>
      <c r="F439" s="9"/>
      <c r="G439" s="12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ht="15.75">
      <c r="A440" s="9"/>
      <c r="B440" s="10"/>
      <c r="C440" s="9"/>
      <c r="D440" s="9"/>
      <c r="E440" s="9"/>
      <c r="F440" s="9"/>
      <c r="G440" s="12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ht="15.75">
      <c r="A441" s="9"/>
      <c r="B441" s="10"/>
      <c r="C441" s="9"/>
      <c r="D441" s="9"/>
      <c r="E441" s="9"/>
      <c r="F441" s="9"/>
      <c r="G441" s="12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ht="15.75">
      <c r="A442" s="9"/>
      <c r="B442" s="10"/>
      <c r="C442" s="9"/>
      <c r="D442" s="9"/>
      <c r="E442" s="9"/>
      <c r="F442" s="9"/>
      <c r="G442" s="12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ht="15.75">
      <c r="A443" s="9"/>
      <c r="B443" s="10"/>
      <c r="C443" s="9"/>
      <c r="D443" s="9"/>
      <c r="E443" s="9"/>
      <c r="F443" s="9"/>
      <c r="G443" s="1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ht="15.75">
      <c r="A444" s="9"/>
      <c r="B444" s="10"/>
      <c r="C444" s="9"/>
      <c r="D444" s="9"/>
      <c r="E444" s="9"/>
      <c r="F444" s="9"/>
      <c r="G444" s="1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ht="15.75">
      <c r="A445" s="9"/>
      <c r="B445" s="10"/>
      <c r="C445" s="9"/>
      <c r="D445" s="9"/>
      <c r="E445" s="9"/>
      <c r="F445" s="9"/>
      <c r="G445" s="12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ht="15.75">
      <c r="A446" s="9"/>
      <c r="B446" s="10"/>
      <c r="C446" s="9"/>
      <c r="D446" s="9"/>
      <c r="E446" s="9"/>
      <c r="F446" s="9"/>
      <c r="G446" s="12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ht="15.75">
      <c r="A447" s="9"/>
      <c r="B447" s="10"/>
      <c r="C447" s="9"/>
      <c r="D447" s="9"/>
      <c r="E447" s="9"/>
      <c r="F447" s="9"/>
      <c r="G447" s="12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ht="15.75">
      <c r="A448" s="9"/>
      <c r="B448" s="10"/>
      <c r="C448" s="9"/>
      <c r="D448" s="9"/>
      <c r="E448" s="9"/>
      <c r="F448" s="9"/>
      <c r="G448" s="12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ht="15.75">
      <c r="A449" s="9"/>
      <c r="B449" s="10"/>
      <c r="C449" s="9"/>
      <c r="D449" s="9"/>
      <c r="E449" s="9"/>
      <c r="F449" s="9"/>
      <c r="G449" s="12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ht="15.75">
      <c r="A450" s="9"/>
      <c r="B450" s="10"/>
      <c r="C450" s="9"/>
      <c r="D450" s="9"/>
      <c r="E450" s="9"/>
      <c r="F450" s="9"/>
      <c r="G450" s="12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ht="15.75">
      <c r="A451" s="9"/>
      <c r="B451" s="10"/>
      <c r="C451" s="9"/>
      <c r="D451" s="9"/>
      <c r="E451" s="9"/>
      <c r="F451" s="9"/>
      <c r="G451" s="12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ht="15.75">
      <c r="A452" s="9"/>
      <c r="B452" s="10"/>
      <c r="C452" s="9"/>
      <c r="D452" s="9"/>
      <c r="E452" s="9"/>
      <c r="F452" s="9"/>
      <c r="G452" s="12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ht="15.75">
      <c r="A453" s="9"/>
      <c r="B453" s="10"/>
      <c r="C453" s="9"/>
      <c r="D453" s="9"/>
      <c r="E453" s="9"/>
      <c r="F453" s="9"/>
      <c r="G453" s="12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ht="15.75">
      <c r="A454" s="9"/>
      <c r="B454" s="10"/>
      <c r="C454" s="9"/>
      <c r="D454" s="9"/>
      <c r="E454" s="9"/>
      <c r="F454" s="9"/>
      <c r="G454" s="12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ht="15.75">
      <c r="A455" s="9"/>
      <c r="B455" s="10"/>
      <c r="C455" s="9"/>
      <c r="D455" s="9"/>
      <c r="E455" s="9"/>
      <c r="F455" s="9"/>
      <c r="G455" s="12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ht="15.75">
      <c r="A456" s="9"/>
      <c r="B456" s="10"/>
      <c r="C456" s="9"/>
      <c r="D456" s="9"/>
      <c r="E456" s="9"/>
      <c r="F456" s="9"/>
      <c r="G456" s="12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ht="15.75">
      <c r="A457" s="9"/>
      <c r="B457" s="10"/>
      <c r="C457" s="9"/>
      <c r="D457" s="9"/>
      <c r="E457" s="9"/>
      <c r="F457" s="9"/>
      <c r="G457" s="12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ht="15.75">
      <c r="A458" s="9"/>
      <c r="B458" s="10"/>
      <c r="C458" s="9"/>
      <c r="D458" s="9"/>
      <c r="E458" s="9"/>
      <c r="F458" s="9"/>
      <c r="G458" s="12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ht="15.75">
      <c r="A459" s="9"/>
      <c r="B459" s="10"/>
      <c r="C459" s="9"/>
      <c r="D459" s="9"/>
      <c r="E459" s="9"/>
      <c r="F459" s="9"/>
      <c r="G459" s="12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ht="15.75">
      <c r="A460" s="9"/>
      <c r="B460" s="10"/>
      <c r="C460" s="9"/>
      <c r="D460" s="9"/>
      <c r="E460" s="9"/>
      <c r="F460" s="9"/>
      <c r="G460" s="12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ht="15.75">
      <c r="A461" s="9"/>
      <c r="B461" s="10"/>
      <c r="C461" s="9"/>
      <c r="D461" s="9"/>
      <c r="E461" s="9"/>
      <c r="F461" s="9"/>
      <c r="G461" s="12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ht="15.75">
      <c r="A462" s="9"/>
      <c r="B462" s="10"/>
      <c r="C462" s="9"/>
      <c r="D462" s="9"/>
      <c r="E462" s="9"/>
      <c r="F462" s="9"/>
      <c r="G462" s="12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ht="15.75">
      <c r="A463" s="9"/>
      <c r="B463" s="10"/>
      <c r="C463" s="9"/>
      <c r="D463" s="9"/>
      <c r="E463" s="9"/>
      <c r="F463" s="9"/>
      <c r="G463" s="12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ht="15.75">
      <c r="A464" s="9"/>
      <c r="B464" s="10"/>
      <c r="C464" s="9"/>
      <c r="D464" s="9"/>
      <c r="E464" s="9"/>
      <c r="F464" s="9"/>
      <c r="G464" s="12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ht="15.75">
      <c r="A465" s="9"/>
      <c r="B465" s="10"/>
      <c r="C465" s="9"/>
      <c r="D465" s="9"/>
      <c r="E465" s="9"/>
      <c r="F465" s="9"/>
      <c r="G465" s="12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ht="15.75">
      <c r="A466" s="9"/>
      <c r="B466" s="10"/>
      <c r="C466" s="9"/>
      <c r="D466" s="9"/>
      <c r="E466" s="9"/>
      <c r="F466" s="9"/>
      <c r="G466" s="12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ht="15.75">
      <c r="A467" s="9"/>
      <c r="B467" s="10"/>
      <c r="C467" s="9"/>
      <c r="D467" s="9"/>
      <c r="E467" s="9"/>
      <c r="F467" s="9"/>
      <c r="G467" s="12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ht="15.75">
      <c r="A468" s="9"/>
      <c r="B468" s="10"/>
      <c r="C468" s="9"/>
      <c r="D468" s="9"/>
      <c r="E468" s="9"/>
      <c r="F468" s="9"/>
      <c r="G468" s="12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ht="15.75">
      <c r="A469" s="9"/>
      <c r="B469" s="10"/>
      <c r="C469" s="9"/>
      <c r="D469" s="9"/>
      <c r="E469" s="9"/>
      <c r="F469" s="9"/>
      <c r="G469" s="12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ht="15.75">
      <c r="A470" s="9"/>
      <c r="B470" s="10"/>
      <c r="C470" s="9"/>
      <c r="D470" s="9"/>
      <c r="E470" s="9"/>
      <c r="F470" s="9"/>
      <c r="G470" s="12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ht="15.75">
      <c r="A471" s="9"/>
      <c r="B471" s="10"/>
      <c r="C471" s="9"/>
      <c r="D471" s="9"/>
      <c r="E471" s="9"/>
      <c r="F471" s="9"/>
      <c r="G471" s="12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ht="15.75">
      <c r="A472" s="9"/>
      <c r="B472" s="10"/>
      <c r="C472" s="9"/>
      <c r="D472" s="9"/>
      <c r="E472" s="9"/>
      <c r="F472" s="9"/>
      <c r="G472" s="12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ht="15.75">
      <c r="A473" s="9"/>
      <c r="B473" s="10"/>
      <c r="C473" s="9"/>
      <c r="D473" s="9"/>
      <c r="E473" s="9"/>
      <c r="F473" s="9"/>
      <c r="G473" s="12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ht="15.75">
      <c r="A474" s="9"/>
      <c r="B474" s="10"/>
      <c r="C474" s="9"/>
      <c r="D474" s="9"/>
      <c r="E474" s="9"/>
      <c r="F474" s="9"/>
      <c r="G474" s="12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ht="15.75">
      <c r="A475" s="9"/>
      <c r="B475" s="10"/>
      <c r="C475" s="9"/>
      <c r="D475" s="9"/>
      <c r="E475" s="9"/>
      <c r="F475" s="9"/>
      <c r="G475" s="12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ht="15.75">
      <c r="A476" s="9"/>
      <c r="B476" s="10"/>
      <c r="C476" s="9"/>
      <c r="D476" s="9"/>
      <c r="E476" s="9"/>
      <c r="F476" s="9"/>
      <c r="G476" s="12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ht="15.75">
      <c r="A477" s="9"/>
      <c r="B477" s="10"/>
      <c r="C477" s="9"/>
      <c r="D477" s="9"/>
      <c r="E477" s="9"/>
      <c r="F477" s="9"/>
      <c r="G477" s="12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ht="15.75">
      <c r="A478" s="9"/>
      <c r="B478" s="10"/>
      <c r="C478" s="9"/>
      <c r="D478" s="9"/>
      <c r="E478" s="9"/>
      <c r="F478" s="9"/>
      <c r="G478" s="12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ht="15.75">
      <c r="A479" s="9"/>
      <c r="B479" s="10"/>
      <c r="C479" s="9"/>
      <c r="D479" s="9"/>
      <c r="E479" s="9"/>
      <c r="F479" s="9"/>
      <c r="G479" s="12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ht="15.75">
      <c r="A480" s="9"/>
      <c r="B480" s="10"/>
      <c r="C480" s="9"/>
      <c r="D480" s="9"/>
      <c r="E480" s="9"/>
      <c r="F480" s="9"/>
      <c r="G480" s="12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ht="15.75">
      <c r="A481" s="9"/>
      <c r="B481" s="10"/>
      <c r="C481" s="9"/>
      <c r="D481" s="9"/>
      <c r="E481" s="9"/>
      <c r="F481" s="9"/>
      <c r="G481" s="12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ht="15.75">
      <c r="A482" s="9"/>
      <c r="B482" s="10"/>
      <c r="C482" s="9"/>
      <c r="D482" s="9"/>
      <c r="E482" s="9"/>
      <c r="F482" s="9"/>
      <c r="G482" s="12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ht="15.75">
      <c r="A483" s="9"/>
      <c r="B483" s="10"/>
      <c r="C483" s="9"/>
      <c r="D483" s="9"/>
      <c r="E483" s="9"/>
      <c r="F483" s="9"/>
      <c r="G483" s="12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ht="15.75">
      <c r="A484" s="9"/>
      <c r="B484" s="10"/>
      <c r="C484" s="9"/>
      <c r="D484" s="9"/>
      <c r="E484" s="9"/>
      <c r="F484" s="9"/>
      <c r="G484" s="12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ht="15.75">
      <c r="A485" s="9"/>
      <c r="B485" s="10"/>
      <c r="C485" s="9"/>
      <c r="D485" s="9"/>
      <c r="E485" s="9"/>
      <c r="F485" s="9"/>
      <c r="G485" s="12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ht="15.75">
      <c r="A486" s="9"/>
      <c r="B486" s="10"/>
      <c r="C486" s="9"/>
      <c r="D486" s="9"/>
      <c r="E486" s="9"/>
      <c r="F486" s="9"/>
      <c r="G486" s="12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ht="15.75">
      <c r="A487" s="9"/>
      <c r="B487" s="10"/>
      <c r="C487" s="9"/>
      <c r="D487" s="9"/>
      <c r="E487" s="9"/>
      <c r="F487" s="9"/>
      <c r="G487" s="12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ht="15.75">
      <c r="A488" s="9"/>
      <c r="B488" s="10"/>
      <c r="C488" s="9"/>
      <c r="D488" s="9"/>
      <c r="E488" s="9"/>
      <c r="F488" s="9"/>
      <c r="G488" s="12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ht="15.75">
      <c r="A489" s="9"/>
      <c r="B489" s="10"/>
      <c r="C489" s="9"/>
      <c r="D489" s="9"/>
      <c r="E489" s="9"/>
      <c r="F489" s="9"/>
      <c r="G489" s="12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spans="1:32" ht="15.75">
      <c r="A490" s="9"/>
      <c r="B490" s="10"/>
      <c r="C490" s="9"/>
      <c r="D490" s="9"/>
      <c r="E490" s="9"/>
      <c r="F490" s="9"/>
      <c r="G490" s="12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spans="1:32" ht="15.75">
      <c r="A491" s="9"/>
      <c r="B491" s="10"/>
      <c r="C491" s="9"/>
      <c r="D491" s="9"/>
      <c r="E491" s="9"/>
      <c r="F491" s="9"/>
      <c r="G491" s="12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spans="1:32" ht="15.75">
      <c r="A492" s="9"/>
      <c r="B492" s="10"/>
      <c r="C492" s="9"/>
      <c r="D492" s="9"/>
      <c r="E492" s="9"/>
      <c r="F492" s="9"/>
      <c r="G492" s="12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spans="1:32" ht="15.75">
      <c r="A493" s="9"/>
      <c r="B493" s="10"/>
      <c r="C493" s="9"/>
      <c r="D493" s="9"/>
      <c r="E493" s="9"/>
      <c r="F493" s="9"/>
      <c r="G493" s="12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spans="1:32" ht="15.75">
      <c r="A494" s="9"/>
      <c r="B494" s="10"/>
      <c r="C494" s="9"/>
      <c r="D494" s="9"/>
      <c r="E494" s="9"/>
      <c r="F494" s="9"/>
      <c r="G494" s="12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spans="1:32" ht="15.75">
      <c r="A495" s="9"/>
      <c r="B495" s="10"/>
      <c r="C495" s="9"/>
      <c r="D495" s="9"/>
      <c r="E495" s="9"/>
      <c r="F495" s="9"/>
      <c r="G495" s="12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spans="1:32" ht="15.75">
      <c r="A496" s="9"/>
      <c r="B496" s="10"/>
      <c r="C496" s="9"/>
      <c r="D496" s="9"/>
      <c r="E496" s="9"/>
      <c r="F496" s="9"/>
      <c r="G496" s="12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spans="1:32" ht="15.75">
      <c r="A497" s="9"/>
      <c r="B497" s="10"/>
      <c r="C497" s="9"/>
      <c r="D497" s="9"/>
      <c r="E497" s="9"/>
      <c r="F497" s="9"/>
      <c r="G497" s="12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spans="1:32" ht="15.75">
      <c r="A498" s="9"/>
      <c r="B498" s="10"/>
      <c r="C498" s="9"/>
      <c r="D498" s="9"/>
      <c r="E498" s="9"/>
      <c r="F498" s="9"/>
      <c r="G498" s="12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spans="1:32" ht="15.75">
      <c r="A499" s="9"/>
      <c r="B499" s="10"/>
      <c r="C499" s="9"/>
      <c r="D499" s="9"/>
      <c r="E499" s="9"/>
      <c r="F499" s="9"/>
      <c r="G499" s="12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spans="1:32" ht="15.75">
      <c r="A500" s="9"/>
      <c r="B500" s="10"/>
      <c r="C500" s="9"/>
      <c r="D500" s="9"/>
      <c r="E500" s="9"/>
      <c r="F500" s="9"/>
      <c r="G500" s="12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spans="1:32" ht="15.75">
      <c r="A501" s="9"/>
      <c r="B501" s="10"/>
      <c r="C501" s="9"/>
      <c r="D501" s="9"/>
      <c r="E501" s="9"/>
      <c r="F501" s="9"/>
      <c r="G501" s="12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spans="1:32" ht="15.75">
      <c r="A502" s="9"/>
      <c r="B502" s="10"/>
      <c r="C502" s="9"/>
      <c r="D502" s="9"/>
      <c r="E502" s="9"/>
      <c r="F502" s="9"/>
      <c r="G502" s="12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spans="1:32" ht="15.75">
      <c r="A503" s="9"/>
      <c r="B503" s="10"/>
      <c r="C503" s="9"/>
      <c r="D503" s="9"/>
      <c r="E503" s="9"/>
      <c r="F503" s="9"/>
      <c r="G503" s="12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spans="1:32" ht="15.75">
      <c r="A504" s="9"/>
      <c r="B504" s="10"/>
      <c r="C504" s="9"/>
      <c r="D504" s="9"/>
      <c r="E504" s="9"/>
      <c r="F504" s="9"/>
      <c r="G504" s="12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spans="1:32" ht="15.75">
      <c r="A505" s="9"/>
      <c r="B505" s="10"/>
      <c r="C505" s="9"/>
      <c r="D505" s="9"/>
      <c r="E505" s="9"/>
      <c r="F505" s="9"/>
      <c r="G505" s="12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spans="1:32" ht="15.75">
      <c r="A506" s="9"/>
      <c r="B506" s="10"/>
      <c r="C506" s="9"/>
      <c r="D506" s="9"/>
      <c r="E506" s="9"/>
      <c r="F506" s="9"/>
      <c r="G506" s="12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spans="1:32" ht="15.75">
      <c r="A507" s="9"/>
      <c r="B507" s="10"/>
      <c r="C507" s="9"/>
      <c r="D507" s="9"/>
      <c r="E507" s="9"/>
      <c r="F507" s="9"/>
      <c r="G507" s="12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spans="1:32" ht="15.75">
      <c r="A508" s="9"/>
      <c r="B508" s="10"/>
      <c r="C508" s="9"/>
      <c r="D508" s="9"/>
      <c r="E508" s="9"/>
      <c r="F508" s="9"/>
      <c r="G508" s="12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spans="1:32" ht="15.75">
      <c r="A509" s="9"/>
      <c r="B509" s="10"/>
      <c r="C509" s="9"/>
      <c r="D509" s="9"/>
      <c r="E509" s="9"/>
      <c r="F509" s="9"/>
      <c r="G509" s="12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spans="1:32" ht="15.75">
      <c r="A510" s="9"/>
      <c r="B510" s="10"/>
      <c r="C510" s="9"/>
      <c r="D510" s="9"/>
      <c r="E510" s="9"/>
      <c r="F510" s="9"/>
      <c r="G510" s="12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spans="1:32" ht="15.75">
      <c r="A511" s="9"/>
      <c r="B511" s="10"/>
      <c r="C511" s="9"/>
      <c r="D511" s="9"/>
      <c r="E511" s="9"/>
      <c r="F511" s="9"/>
      <c r="G511" s="12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spans="1:32" ht="15.75">
      <c r="A512" s="9"/>
      <c r="B512" s="10"/>
      <c r="C512" s="9"/>
      <c r="D512" s="9"/>
      <c r="E512" s="9"/>
      <c r="F512" s="9"/>
      <c r="G512" s="12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spans="1:32" ht="15.75">
      <c r="A513" s="9"/>
      <c r="B513" s="10"/>
      <c r="C513" s="9"/>
      <c r="D513" s="9"/>
      <c r="E513" s="9"/>
      <c r="F513" s="9"/>
      <c r="G513" s="12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spans="1:32" ht="15.75">
      <c r="A514" s="9"/>
      <c r="B514" s="10"/>
      <c r="C514" s="9"/>
      <c r="D514" s="9"/>
      <c r="E514" s="9"/>
      <c r="F514" s="9"/>
      <c r="G514" s="12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spans="1:32" ht="15.75">
      <c r="A515" s="9"/>
      <c r="B515" s="10"/>
      <c r="C515" s="9"/>
      <c r="D515" s="9"/>
      <c r="E515" s="9"/>
      <c r="F515" s="9"/>
      <c r="G515" s="12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spans="1:32" ht="15.75">
      <c r="A516" s="9"/>
      <c r="B516" s="10"/>
      <c r="C516" s="9"/>
      <c r="D516" s="9"/>
      <c r="E516" s="9"/>
      <c r="F516" s="9"/>
      <c r="G516" s="12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spans="1:32" ht="15.75">
      <c r="A517" s="9"/>
      <c r="B517" s="10"/>
      <c r="C517" s="9"/>
      <c r="D517" s="9"/>
      <c r="E517" s="9"/>
      <c r="F517" s="9"/>
      <c r="G517" s="12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spans="1:32" ht="15.75">
      <c r="A518" s="9"/>
      <c r="B518" s="10"/>
      <c r="C518" s="9"/>
      <c r="D518" s="9"/>
      <c r="E518" s="9"/>
      <c r="F518" s="9"/>
      <c r="G518" s="12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spans="1:32" ht="15.75">
      <c r="A519" s="9"/>
      <c r="B519" s="10"/>
      <c r="C519" s="9"/>
      <c r="D519" s="9"/>
      <c r="E519" s="9"/>
      <c r="F519" s="9"/>
      <c r="G519" s="12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spans="1:32" ht="15.75">
      <c r="A520" s="9"/>
      <c r="B520" s="10"/>
      <c r="C520" s="9"/>
      <c r="D520" s="9"/>
      <c r="E520" s="9"/>
      <c r="F520" s="9"/>
      <c r="G520" s="12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spans="1:32" ht="15.75">
      <c r="A521" s="9"/>
      <c r="B521" s="10"/>
      <c r="C521" s="9"/>
      <c r="D521" s="9"/>
      <c r="E521" s="9"/>
      <c r="F521" s="9"/>
      <c r="G521" s="12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spans="1:32" ht="15.75">
      <c r="A522" s="9"/>
      <c r="B522" s="10"/>
      <c r="C522" s="9"/>
      <c r="D522" s="9"/>
      <c r="E522" s="9"/>
      <c r="F522" s="9"/>
      <c r="G522" s="12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spans="1:32" ht="15.75">
      <c r="A523" s="9"/>
      <c r="B523" s="10"/>
      <c r="C523" s="9"/>
      <c r="D523" s="9"/>
      <c r="E523" s="9"/>
      <c r="F523" s="9"/>
      <c r="G523" s="12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spans="1:32" ht="15.75">
      <c r="A524" s="9"/>
      <c r="B524" s="10"/>
      <c r="C524" s="9"/>
      <c r="D524" s="9"/>
      <c r="E524" s="9"/>
      <c r="F524" s="9"/>
      <c r="G524" s="12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spans="1:32" ht="15.75">
      <c r="A525" s="9"/>
      <c r="B525" s="10"/>
      <c r="C525" s="9"/>
      <c r="D525" s="9"/>
      <c r="E525" s="9"/>
      <c r="F525" s="9"/>
      <c r="G525" s="12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spans="1:32" ht="15.75">
      <c r="A526" s="9"/>
      <c r="B526" s="10"/>
      <c r="C526" s="9"/>
      <c r="D526" s="9"/>
      <c r="E526" s="9"/>
      <c r="F526" s="9"/>
      <c r="G526" s="12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spans="1:32" ht="15.75">
      <c r="A527" s="9"/>
      <c r="B527" s="10"/>
      <c r="C527" s="9"/>
      <c r="D527" s="9"/>
      <c r="E527" s="9"/>
      <c r="F527" s="9"/>
      <c r="G527" s="12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spans="1:32" ht="15.75">
      <c r="A528" s="9"/>
      <c r="B528" s="10"/>
      <c r="C528" s="9"/>
      <c r="D528" s="9"/>
      <c r="E528" s="9"/>
      <c r="F528" s="9"/>
      <c r="G528" s="12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spans="1:32" ht="15.75">
      <c r="A529" s="9"/>
      <c r="B529" s="10"/>
      <c r="C529" s="9"/>
      <c r="D529" s="9"/>
      <c r="E529" s="9"/>
      <c r="F529" s="9"/>
      <c r="G529" s="12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spans="1:32" ht="15.75">
      <c r="A530" s="9"/>
      <c r="B530" s="10"/>
      <c r="C530" s="9"/>
      <c r="D530" s="9"/>
      <c r="E530" s="9"/>
      <c r="F530" s="9"/>
      <c r="G530" s="12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spans="1:32" ht="15.75">
      <c r="A531" s="9"/>
      <c r="B531" s="10"/>
      <c r="C531" s="9"/>
      <c r="D531" s="9"/>
      <c r="E531" s="9"/>
      <c r="F531" s="9"/>
      <c r="G531" s="12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spans="1:32" ht="15.75">
      <c r="A532" s="9"/>
      <c r="B532" s="10"/>
      <c r="C532" s="9"/>
      <c r="D532" s="9"/>
      <c r="E532" s="9"/>
      <c r="F532" s="9"/>
      <c r="G532" s="12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spans="1:32" ht="15.75">
      <c r="A533" s="9"/>
      <c r="B533" s="10"/>
      <c r="C533" s="9"/>
      <c r="D533" s="9"/>
      <c r="E533" s="9"/>
      <c r="F533" s="9"/>
      <c r="G533" s="12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spans="1:32" ht="15.75">
      <c r="A534" s="9"/>
      <c r="B534" s="10"/>
      <c r="C534" s="9"/>
      <c r="D534" s="9"/>
      <c r="E534" s="9"/>
      <c r="F534" s="9"/>
      <c r="G534" s="12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spans="1:32" ht="15.75">
      <c r="A535" s="9"/>
      <c r="B535" s="10"/>
      <c r="C535" s="9"/>
      <c r="D535" s="9"/>
      <c r="E535" s="9"/>
      <c r="F535" s="9"/>
      <c r="G535" s="12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spans="1:32" ht="15.75">
      <c r="A536" s="9"/>
      <c r="B536" s="10"/>
      <c r="C536" s="9"/>
      <c r="D536" s="9"/>
      <c r="E536" s="9"/>
      <c r="F536" s="9"/>
      <c r="G536" s="12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spans="1:32" ht="15.75">
      <c r="A537" s="9"/>
      <c r="B537" s="10"/>
      <c r="C537" s="9"/>
      <c r="D537" s="9"/>
      <c r="E537" s="9"/>
      <c r="F537" s="9"/>
      <c r="G537" s="12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spans="1:32" ht="15.75">
      <c r="A538" s="9"/>
      <c r="B538" s="10"/>
      <c r="C538" s="9"/>
      <c r="D538" s="9"/>
      <c r="E538" s="9"/>
      <c r="F538" s="9"/>
      <c r="G538" s="12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spans="1:32" ht="15.75">
      <c r="A539" s="9"/>
      <c r="B539" s="10"/>
      <c r="C539" s="9"/>
      <c r="D539" s="9"/>
      <c r="E539" s="9"/>
      <c r="F539" s="9"/>
      <c r="G539" s="12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spans="1:32" ht="15.75">
      <c r="A540" s="9"/>
      <c r="B540" s="10"/>
      <c r="C540" s="9"/>
      <c r="D540" s="9"/>
      <c r="E540" s="9"/>
      <c r="F540" s="9"/>
      <c r="G540" s="12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spans="1:32" ht="15.75">
      <c r="A541" s="9"/>
      <c r="B541" s="10"/>
      <c r="C541" s="9"/>
      <c r="D541" s="9"/>
      <c r="E541" s="9"/>
      <c r="F541" s="9"/>
      <c r="G541" s="12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spans="1:32" ht="15.75">
      <c r="A542" s="9"/>
      <c r="B542" s="10"/>
      <c r="C542" s="9"/>
      <c r="D542" s="9"/>
      <c r="E542" s="9"/>
      <c r="F542" s="9"/>
      <c r="G542" s="12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spans="1:32" ht="15.75">
      <c r="A543" s="9"/>
      <c r="B543" s="10"/>
      <c r="C543" s="9"/>
      <c r="D543" s="9"/>
      <c r="E543" s="9"/>
      <c r="F543" s="9"/>
      <c r="G543" s="12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ht="15.75">
      <c r="A544" s="9"/>
      <c r="B544" s="10"/>
      <c r="C544" s="9"/>
      <c r="D544" s="9"/>
      <c r="E544" s="9"/>
      <c r="F544" s="9"/>
      <c r="G544" s="12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ht="15.75">
      <c r="A545" s="9"/>
      <c r="B545" s="10"/>
      <c r="C545" s="9"/>
      <c r="D545" s="9"/>
      <c r="E545" s="9"/>
      <c r="F545" s="9"/>
      <c r="G545" s="12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ht="15.75">
      <c r="A546" s="9"/>
      <c r="B546" s="10"/>
      <c r="C546" s="9"/>
      <c r="D546" s="9"/>
      <c r="E546" s="9"/>
      <c r="F546" s="9"/>
      <c r="G546" s="12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ht="15.75">
      <c r="A547" s="9"/>
      <c r="B547" s="10"/>
      <c r="C547" s="9"/>
      <c r="D547" s="9"/>
      <c r="E547" s="9"/>
      <c r="F547" s="9"/>
      <c r="G547" s="12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ht="15.75">
      <c r="A548" s="9"/>
      <c r="B548" s="10"/>
      <c r="C548" s="9"/>
      <c r="D548" s="9"/>
      <c r="E548" s="9"/>
      <c r="F548" s="9"/>
      <c r="G548" s="12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ht="15.75">
      <c r="A549" s="9"/>
      <c r="B549" s="10"/>
      <c r="C549" s="9"/>
      <c r="D549" s="9"/>
      <c r="E549" s="9"/>
      <c r="F549" s="9"/>
      <c r="G549" s="12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ht="15.75">
      <c r="A550" s="9"/>
      <c r="B550" s="10"/>
      <c r="C550" s="9"/>
      <c r="D550" s="9"/>
      <c r="E550" s="9"/>
      <c r="F550" s="9"/>
      <c r="G550" s="12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ht="15.75">
      <c r="A551" s="9"/>
      <c r="B551" s="10"/>
      <c r="C551" s="9"/>
      <c r="D551" s="9"/>
      <c r="E551" s="9"/>
      <c r="F551" s="9"/>
      <c r="G551" s="12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ht="15.75">
      <c r="A552" s="9"/>
      <c r="B552" s="10"/>
      <c r="C552" s="9"/>
      <c r="D552" s="9"/>
      <c r="E552" s="9"/>
      <c r="F552" s="9"/>
      <c r="G552" s="12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ht="15.75">
      <c r="A553" s="9"/>
      <c r="B553" s="10"/>
      <c r="C553" s="9"/>
      <c r="D553" s="9"/>
      <c r="E553" s="9"/>
      <c r="F553" s="9"/>
      <c r="G553" s="12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ht="15.75">
      <c r="A554" s="9"/>
      <c r="B554" s="10"/>
      <c r="C554" s="9"/>
      <c r="D554" s="9"/>
      <c r="E554" s="9"/>
      <c r="F554" s="9"/>
      <c r="G554" s="12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ht="15.75">
      <c r="A555" s="9"/>
      <c r="B555" s="10"/>
      <c r="C555" s="9"/>
      <c r="D555" s="9"/>
      <c r="E555" s="9"/>
      <c r="F555" s="9"/>
      <c r="G555" s="12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ht="15.75">
      <c r="A556" s="9"/>
      <c r="B556" s="10"/>
      <c r="C556" s="9"/>
      <c r="D556" s="9"/>
      <c r="E556" s="9"/>
      <c r="F556" s="9"/>
      <c r="G556" s="12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ht="15.75">
      <c r="A557" s="9"/>
      <c r="B557" s="10"/>
      <c r="C557" s="9"/>
      <c r="D557" s="9"/>
      <c r="E557" s="9"/>
      <c r="F557" s="9"/>
      <c r="G557" s="12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ht="15.75">
      <c r="A558" s="9"/>
      <c r="B558" s="10"/>
      <c r="C558" s="9"/>
      <c r="D558" s="9"/>
      <c r="E558" s="9"/>
      <c r="F558" s="9"/>
      <c r="G558" s="12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ht="15.75">
      <c r="A559" s="9"/>
      <c r="B559" s="10"/>
      <c r="C559" s="9"/>
      <c r="D559" s="9"/>
      <c r="E559" s="9"/>
      <c r="F559" s="9"/>
      <c r="G559" s="12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ht="15.75">
      <c r="A560" s="9"/>
      <c r="B560" s="10"/>
      <c r="C560" s="9"/>
      <c r="D560" s="9"/>
      <c r="E560" s="9"/>
      <c r="F560" s="9"/>
      <c r="G560" s="12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ht="15.75">
      <c r="A561" s="9"/>
      <c r="B561" s="10"/>
      <c r="C561" s="9"/>
      <c r="D561" s="9"/>
      <c r="E561" s="9"/>
      <c r="F561" s="9"/>
      <c r="G561" s="12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ht="15.75">
      <c r="A562" s="9"/>
      <c r="B562" s="10"/>
      <c r="C562" s="9"/>
      <c r="D562" s="9"/>
      <c r="E562" s="9"/>
      <c r="F562" s="9"/>
      <c r="G562" s="12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ht="15.75">
      <c r="A563" s="9"/>
      <c r="B563" s="10"/>
      <c r="C563" s="9"/>
      <c r="D563" s="9"/>
      <c r="E563" s="9"/>
      <c r="F563" s="9"/>
      <c r="G563" s="12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ht="15.75">
      <c r="A564" s="9"/>
      <c r="B564" s="10"/>
      <c r="C564" s="9"/>
      <c r="D564" s="9"/>
      <c r="E564" s="9"/>
      <c r="F564" s="9"/>
      <c r="G564" s="12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ht="15.75">
      <c r="A565" s="9"/>
      <c r="B565" s="10"/>
      <c r="C565" s="9"/>
      <c r="D565" s="9"/>
      <c r="E565" s="9"/>
      <c r="F565" s="9"/>
      <c r="G565" s="12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ht="15.75">
      <c r="A566" s="9"/>
      <c r="B566" s="10"/>
      <c r="C566" s="9"/>
      <c r="D566" s="9"/>
      <c r="E566" s="9"/>
      <c r="F566" s="9"/>
      <c r="G566" s="12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ht="15.75">
      <c r="A567" s="9"/>
      <c r="B567" s="10"/>
      <c r="C567" s="9"/>
      <c r="D567" s="9"/>
      <c r="E567" s="9"/>
      <c r="F567" s="9"/>
      <c r="G567" s="12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ht="15.75">
      <c r="A568" s="9"/>
      <c r="B568" s="10"/>
      <c r="C568" s="9"/>
      <c r="D568" s="9"/>
      <c r="E568" s="9"/>
      <c r="F568" s="9"/>
      <c r="G568" s="12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ht="15.75">
      <c r="A569" s="9"/>
      <c r="B569" s="10"/>
      <c r="C569" s="9"/>
      <c r="D569" s="9"/>
      <c r="E569" s="9"/>
      <c r="F569" s="9"/>
      <c r="G569" s="12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ht="15.75">
      <c r="A570" s="9"/>
      <c r="B570" s="10"/>
      <c r="C570" s="9"/>
      <c r="D570" s="9"/>
      <c r="E570" s="9"/>
      <c r="F570" s="9"/>
      <c r="G570" s="12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ht="15.75">
      <c r="A571" s="9"/>
      <c r="B571" s="10"/>
      <c r="C571" s="9"/>
      <c r="D571" s="9"/>
      <c r="E571" s="9"/>
      <c r="F571" s="9"/>
      <c r="G571" s="12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ht="15.75">
      <c r="A572" s="9"/>
      <c r="B572" s="10"/>
      <c r="C572" s="9"/>
      <c r="D572" s="9"/>
      <c r="E572" s="9"/>
      <c r="F572" s="9"/>
      <c r="G572" s="12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ht="15.75">
      <c r="A573" s="9"/>
      <c r="B573" s="10"/>
      <c r="C573" s="9"/>
      <c r="D573" s="9"/>
      <c r="E573" s="9"/>
      <c r="F573" s="9"/>
      <c r="G573" s="12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ht="15.75">
      <c r="A574" s="9"/>
      <c r="B574" s="10"/>
      <c r="C574" s="9"/>
      <c r="D574" s="9"/>
      <c r="E574" s="9"/>
      <c r="F574" s="9"/>
      <c r="G574" s="12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ht="15.75">
      <c r="A575" s="9"/>
      <c r="B575" s="10"/>
      <c r="C575" s="9"/>
      <c r="D575" s="9"/>
      <c r="E575" s="9"/>
      <c r="F575" s="9"/>
      <c r="G575" s="12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ht="15.75">
      <c r="A576" s="9"/>
      <c r="B576" s="10"/>
      <c r="C576" s="9"/>
      <c r="D576" s="9"/>
      <c r="E576" s="9"/>
      <c r="F576" s="9"/>
      <c r="G576" s="12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ht="15.75">
      <c r="A577" s="9"/>
      <c r="B577" s="10"/>
      <c r="C577" s="9"/>
      <c r="D577" s="9"/>
      <c r="E577" s="9"/>
      <c r="F577" s="9"/>
      <c r="G577" s="12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ht="15.75">
      <c r="A578" s="9"/>
      <c r="B578" s="10"/>
      <c r="C578" s="9"/>
      <c r="D578" s="9"/>
      <c r="E578" s="9"/>
      <c r="F578" s="9"/>
      <c r="G578" s="12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ht="15.75">
      <c r="A579" s="9"/>
      <c r="B579" s="10"/>
      <c r="C579" s="9"/>
      <c r="D579" s="9"/>
      <c r="E579" s="9"/>
      <c r="F579" s="9"/>
      <c r="G579" s="12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ht="15.75">
      <c r="A580" s="9"/>
      <c r="B580" s="10"/>
      <c r="C580" s="9"/>
      <c r="D580" s="9"/>
      <c r="E580" s="9"/>
      <c r="F580" s="9"/>
      <c r="G580" s="12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ht="15.75">
      <c r="A581" s="9"/>
      <c r="B581" s="10"/>
      <c r="C581" s="9"/>
      <c r="D581" s="9"/>
      <c r="E581" s="9"/>
      <c r="F581" s="9"/>
      <c r="G581" s="12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ht="15.75">
      <c r="A582" s="9"/>
      <c r="B582" s="10"/>
      <c r="C582" s="9"/>
      <c r="D582" s="9"/>
      <c r="E582" s="9"/>
      <c r="F582" s="9"/>
      <c r="G582" s="12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ht="15.75">
      <c r="A583" s="9"/>
      <c r="B583" s="10"/>
      <c r="C583" s="9"/>
      <c r="D583" s="9"/>
      <c r="E583" s="9"/>
      <c r="F583" s="9"/>
      <c r="G583" s="12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ht="15.75">
      <c r="A584" s="9"/>
      <c r="B584" s="10"/>
      <c r="C584" s="9"/>
      <c r="D584" s="9"/>
      <c r="E584" s="9"/>
      <c r="F584" s="9"/>
      <c r="G584" s="12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ht="15.75">
      <c r="A585" s="9"/>
      <c r="B585" s="10"/>
      <c r="C585" s="9"/>
      <c r="D585" s="9"/>
      <c r="E585" s="9"/>
      <c r="F585" s="9"/>
      <c r="G585" s="12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ht="15.75">
      <c r="A586" s="9"/>
      <c r="B586" s="10"/>
      <c r="C586" s="9"/>
      <c r="D586" s="9"/>
      <c r="E586" s="9"/>
      <c r="F586" s="9"/>
      <c r="G586" s="12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ht="15.75">
      <c r="A587" s="9"/>
      <c r="B587" s="10"/>
      <c r="C587" s="9"/>
      <c r="D587" s="9"/>
      <c r="E587" s="9"/>
      <c r="F587" s="9"/>
      <c r="G587" s="12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ht="15.75">
      <c r="A588" s="9"/>
      <c r="B588" s="10"/>
      <c r="C588" s="9"/>
      <c r="D588" s="9"/>
      <c r="E588" s="9"/>
      <c r="F588" s="9"/>
      <c r="G588" s="12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ht="15.75">
      <c r="A589" s="9"/>
      <c r="B589" s="10"/>
      <c r="C589" s="9"/>
      <c r="D589" s="9"/>
      <c r="E589" s="9"/>
      <c r="F589" s="9"/>
      <c r="G589" s="12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ht="15.75">
      <c r="A590" s="9"/>
      <c r="B590" s="10"/>
      <c r="C590" s="9"/>
      <c r="D590" s="9"/>
      <c r="E590" s="9"/>
      <c r="F590" s="9"/>
      <c r="G590" s="12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ht="15.75">
      <c r="A591" s="9"/>
      <c r="B591" s="10"/>
      <c r="C591" s="9"/>
      <c r="D591" s="9"/>
      <c r="E591" s="9"/>
      <c r="F591" s="9"/>
      <c r="G591" s="12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ht="15.75">
      <c r="A592" s="9"/>
      <c r="B592" s="10"/>
      <c r="C592" s="9"/>
      <c r="D592" s="9"/>
      <c r="E592" s="9"/>
      <c r="F592" s="9"/>
      <c r="G592" s="12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ht="15.75">
      <c r="A593" s="9"/>
      <c r="B593" s="10"/>
      <c r="C593" s="9"/>
      <c r="D593" s="9"/>
      <c r="E593" s="9"/>
      <c r="F593" s="9"/>
      <c r="G593" s="12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ht="15.75">
      <c r="A594" s="9"/>
      <c r="B594" s="10"/>
      <c r="C594" s="9"/>
      <c r="D594" s="9"/>
      <c r="E594" s="9"/>
      <c r="F594" s="9"/>
      <c r="G594" s="12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ht="15.75">
      <c r="A595" s="9"/>
      <c r="B595" s="10"/>
      <c r="C595" s="9"/>
      <c r="D595" s="9"/>
      <c r="E595" s="9"/>
      <c r="F595" s="9"/>
      <c r="G595" s="12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ht="15.75">
      <c r="A596" s="9"/>
      <c r="B596" s="10"/>
      <c r="C596" s="9"/>
      <c r="D596" s="9"/>
      <c r="E596" s="9"/>
      <c r="F596" s="9"/>
      <c r="G596" s="12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ht="15.75">
      <c r="A597" s="9"/>
      <c r="B597" s="10"/>
      <c r="C597" s="9"/>
      <c r="D597" s="9"/>
      <c r="E597" s="9"/>
      <c r="F597" s="9"/>
      <c r="G597" s="12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ht="15.75">
      <c r="A598" s="9"/>
      <c r="B598" s="10"/>
      <c r="C598" s="9"/>
      <c r="D598" s="9"/>
      <c r="E598" s="9"/>
      <c r="F598" s="9"/>
      <c r="G598" s="12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ht="15.75">
      <c r="A599" s="9"/>
      <c r="B599" s="10"/>
      <c r="C599" s="9"/>
      <c r="D599" s="9"/>
      <c r="E599" s="9"/>
      <c r="F599" s="9"/>
      <c r="G599" s="12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ht="15.75">
      <c r="A600" s="9"/>
      <c r="B600" s="10"/>
      <c r="C600" s="9"/>
      <c r="D600" s="9"/>
      <c r="E600" s="9"/>
      <c r="F600" s="9"/>
      <c r="G600" s="12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ht="15.75">
      <c r="A601" s="9"/>
      <c r="B601" s="10"/>
      <c r="C601" s="9"/>
      <c r="D601" s="9"/>
      <c r="E601" s="9"/>
      <c r="F601" s="9"/>
      <c r="G601" s="12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ht="15.75">
      <c r="A602" s="9"/>
      <c r="B602" s="10"/>
      <c r="C602" s="9"/>
      <c r="D602" s="9"/>
      <c r="E602" s="9"/>
      <c r="F602" s="9"/>
      <c r="G602" s="12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ht="15.75">
      <c r="A603" s="9"/>
      <c r="B603" s="10"/>
      <c r="C603" s="9"/>
      <c r="D603" s="9"/>
      <c r="E603" s="9"/>
      <c r="F603" s="9"/>
      <c r="G603" s="12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ht="15.75">
      <c r="A604" s="9"/>
      <c r="B604" s="10"/>
      <c r="C604" s="9"/>
      <c r="D604" s="9"/>
      <c r="E604" s="9"/>
      <c r="F604" s="9"/>
      <c r="G604" s="12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ht="15.75">
      <c r="A605" s="9"/>
      <c r="B605" s="10"/>
      <c r="C605" s="9"/>
      <c r="D605" s="9"/>
      <c r="E605" s="9"/>
      <c r="F605" s="9"/>
      <c r="G605" s="12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ht="15.75">
      <c r="A606" s="9"/>
      <c r="B606" s="10"/>
      <c r="C606" s="9"/>
      <c r="D606" s="9"/>
      <c r="E606" s="9"/>
      <c r="F606" s="9"/>
      <c r="G606" s="12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ht="15.75">
      <c r="A607" s="9"/>
      <c r="B607" s="10"/>
      <c r="C607" s="9"/>
      <c r="D607" s="9"/>
      <c r="E607" s="9"/>
      <c r="F607" s="9"/>
      <c r="G607" s="12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ht="15.75">
      <c r="A608" s="9"/>
      <c r="B608" s="10"/>
      <c r="C608" s="9"/>
      <c r="D608" s="9"/>
      <c r="E608" s="9"/>
      <c r="F608" s="9"/>
      <c r="G608" s="12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ht="15.75">
      <c r="A609" s="9"/>
      <c r="B609" s="10"/>
      <c r="C609" s="9"/>
      <c r="D609" s="9"/>
      <c r="E609" s="9"/>
      <c r="F609" s="9"/>
      <c r="G609" s="12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ht="15.75">
      <c r="A610" s="9"/>
      <c r="B610" s="10"/>
      <c r="C610" s="9"/>
      <c r="D610" s="9"/>
      <c r="E610" s="9"/>
      <c r="F610" s="9"/>
      <c r="G610" s="12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ht="15.75">
      <c r="A611" s="9"/>
      <c r="B611" s="10"/>
      <c r="C611" s="9"/>
      <c r="D611" s="9"/>
      <c r="E611" s="9"/>
      <c r="F611" s="9"/>
      <c r="G611" s="12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ht="15.75">
      <c r="A612" s="9"/>
      <c r="B612" s="10"/>
      <c r="C612" s="9"/>
      <c r="D612" s="9"/>
      <c r="E612" s="9"/>
      <c r="F612" s="9"/>
      <c r="G612" s="12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ht="15.75">
      <c r="A613" s="9"/>
      <c r="B613" s="10"/>
      <c r="C613" s="9"/>
      <c r="D613" s="9"/>
      <c r="E613" s="9"/>
      <c r="F613" s="9"/>
      <c r="G613" s="12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ht="15.75">
      <c r="A614" s="9"/>
      <c r="B614" s="10"/>
      <c r="C614" s="9"/>
      <c r="D614" s="9"/>
      <c r="E614" s="9"/>
      <c r="F614" s="9"/>
      <c r="G614" s="12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ht="15.75">
      <c r="A615" s="9"/>
      <c r="B615" s="10"/>
      <c r="C615" s="9"/>
      <c r="D615" s="9"/>
      <c r="E615" s="9"/>
      <c r="F615" s="9"/>
      <c r="G615" s="12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ht="15.75">
      <c r="A616" s="9"/>
      <c r="B616" s="10"/>
      <c r="C616" s="9"/>
      <c r="D616" s="9"/>
      <c r="E616" s="9"/>
      <c r="F616" s="9"/>
      <c r="G616" s="12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ht="15.75">
      <c r="A617" s="9"/>
      <c r="B617" s="10"/>
      <c r="C617" s="9"/>
      <c r="D617" s="9"/>
      <c r="E617" s="9"/>
      <c r="F617" s="9"/>
      <c r="G617" s="12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ht="15.75">
      <c r="A618" s="9"/>
      <c r="B618" s="10"/>
      <c r="C618" s="9"/>
      <c r="D618" s="9"/>
      <c r="E618" s="9"/>
      <c r="F618" s="9"/>
      <c r="G618" s="12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ht="15.75">
      <c r="A619" s="9"/>
      <c r="B619" s="10"/>
      <c r="C619" s="9"/>
      <c r="D619" s="9"/>
      <c r="E619" s="9"/>
      <c r="F619" s="9"/>
      <c r="G619" s="12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ht="15.75">
      <c r="A620" s="9"/>
      <c r="B620" s="10"/>
      <c r="C620" s="9"/>
      <c r="D620" s="9"/>
      <c r="E620" s="9"/>
      <c r="F620" s="9"/>
      <c r="G620" s="12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ht="15.75">
      <c r="A621" s="9"/>
      <c r="B621" s="10"/>
      <c r="C621" s="9"/>
      <c r="D621" s="9"/>
      <c r="E621" s="9"/>
      <c r="F621" s="9"/>
      <c r="G621" s="12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ht="15.75">
      <c r="A622" s="9"/>
      <c r="B622" s="10"/>
      <c r="C622" s="9"/>
      <c r="D622" s="9"/>
      <c r="E622" s="9"/>
      <c r="F622" s="9"/>
      <c r="G622" s="12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ht="15.75">
      <c r="A623" s="9"/>
      <c r="B623" s="10"/>
      <c r="C623" s="9"/>
      <c r="D623" s="9"/>
      <c r="E623" s="9"/>
      <c r="F623" s="9"/>
      <c r="G623" s="12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ht="15.75">
      <c r="A624" s="9"/>
      <c r="B624" s="10"/>
      <c r="C624" s="9"/>
      <c r="D624" s="9"/>
      <c r="E624" s="9"/>
      <c r="F624" s="9"/>
      <c r="G624" s="12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ht="15.75">
      <c r="A625" s="9"/>
      <c r="B625" s="10"/>
      <c r="C625" s="9"/>
      <c r="D625" s="9"/>
      <c r="E625" s="9"/>
      <c r="F625" s="9"/>
      <c r="G625" s="12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ht="15.75">
      <c r="A626" s="9"/>
      <c r="B626" s="10"/>
      <c r="C626" s="9"/>
      <c r="D626" s="9"/>
      <c r="E626" s="9"/>
      <c r="F626" s="9"/>
      <c r="G626" s="12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ht="15.75">
      <c r="A627" s="9"/>
      <c r="B627" s="10"/>
      <c r="C627" s="9"/>
      <c r="D627" s="9"/>
      <c r="E627" s="9"/>
      <c r="F627" s="9"/>
      <c r="G627" s="12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ht="15.75">
      <c r="A628" s="9"/>
      <c r="B628" s="10"/>
      <c r="C628" s="9"/>
      <c r="D628" s="9"/>
      <c r="E628" s="9"/>
      <c r="F628" s="9"/>
      <c r="G628" s="12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ht="15.75">
      <c r="A629" s="9"/>
      <c r="B629" s="10"/>
      <c r="C629" s="9"/>
      <c r="D629" s="9"/>
      <c r="E629" s="9"/>
      <c r="F629" s="9"/>
      <c r="G629" s="12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ht="15.75">
      <c r="A630" s="9"/>
      <c r="B630" s="10"/>
      <c r="C630" s="9"/>
      <c r="D630" s="9"/>
      <c r="E630" s="9"/>
      <c r="F630" s="9"/>
      <c r="G630" s="12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ht="15.75">
      <c r="A631" s="9"/>
      <c r="B631" s="10"/>
      <c r="C631" s="9"/>
      <c r="D631" s="9"/>
      <c r="E631" s="9"/>
      <c r="F631" s="9"/>
      <c r="G631" s="12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ht="15.75">
      <c r="A632" s="9"/>
      <c r="B632" s="10"/>
      <c r="C632" s="9"/>
      <c r="D632" s="9"/>
      <c r="E632" s="9"/>
      <c r="F632" s="9"/>
      <c r="G632" s="12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ht="15.75">
      <c r="A633" s="9"/>
      <c r="B633" s="10"/>
      <c r="C633" s="9"/>
      <c r="D633" s="9"/>
      <c r="E633" s="9"/>
      <c r="F633" s="9"/>
      <c r="G633" s="12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ht="15.75">
      <c r="A634" s="9"/>
      <c r="B634" s="10"/>
      <c r="C634" s="9"/>
      <c r="D634" s="9"/>
      <c r="E634" s="9"/>
      <c r="F634" s="9"/>
      <c r="G634" s="12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ht="15.75">
      <c r="A635" s="9"/>
      <c r="B635" s="10"/>
      <c r="C635" s="9"/>
      <c r="D635" s="9"/>
      <c r="E635" s="9"/>
      <c r="F635" s="9"/>
      <c r="G635" s="12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ht="15.75">
      <c r="A636" s="9"/>
      <c r="B636" s="10"/>
      <c r="C636" s="9"/>
      <c r="D636" s="9"/>
      <c r="E636" s="9"/>
      <c r="F636" s="9"/>
      <c r="G636" s="12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ht="15.75">
      <c r="A637" s="9"/>
      <c r="B637" s="10"/>
      <c r="C637" s="9"/>
      <c r="D637" s="9"/>
      <c r="E637" s="9"/>
      <c r="F637" s="9"/>
      <c r="G637" s="12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ht="15.75">
      <c r="A638" s="9"/>
      <c r="B638" s="10"/>
      <c r="C638" s="9"/>
      <c r="D638" s="9"/>
      <c r="E638" s="9"/>
      <c r="F638" s="9"/>
      <c r="G638" s="12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ht="15.75">
      <c r="A639" s="9"/>
      <c r="B639" s="10"/>
      <c r="C639" s="9"/>
      <c r="D639" s="9"/>
      <c r="E639" s="9"/>
      <c r="F639" s="9"/>
      <c r="G639" s="12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ht="15.75">
      <c r="A640" s="9"/>
      <c r="B640" s="10"/>
      <c r="C640" s="9"/>
      <c r="D640" s="9"/>
      <c r="E640" s="9"/>
      <c r="F640" s="9"/>
      <c r="G640" s="12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ht="15.75">
      <c r="A641" s="9"/>
      <c r="B641" s="10"/>
      <c r="C641" s="9"/>
      <c r="D641" s="9"/>
      <c r="E641" s="9"/>
      <c r="F641" s="9"/>
      <c r="G641" s="12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ht="15.75">
      <c r="A642" s="9"/>
      <c r="B642" s="10"/>
      <c r="C642" s="9"/>
      <c r="D642" s="9"/>
      <c r="E642" s="9"/>
      <c r="F642" s="9"/>
      <c r="G642" s="12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ht="15.75">
      <c r="A643" s="9"/>
      <c r="B643" s="10"/>
      <c r="C643" s="9"/>
      <c r="D643" s="9"/>
      <c r="E643" s="9"/>
      <c r="F643" s="9"/>
      <c r="G643" s="12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ht="15.75">
      <c r="A644" s="9"/>
      <c r="B644" s="10"/>
      <c r="C644" s="9"/>
      <c r="D644" s="9"/>
      <c r="E644" s="9"/>
      <c r="F644" s="9"/>
      <c r="G644" s="12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ht="15.75">
      <c r="A645" s="9"/>
      <c r="B645" s="10"/>
      <c r="C645" s="9"/>
      <c r="D645" s="9"/>
      <c r="E645" s="9"/>
      <c r="F645" s="9"/>
      <c r="G645" s="12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ht="15.75">
      <c r="A646" s="9"/>
      <c r="B646" s="10"/>
      <c r="C646" s="9"/>
      <c r="D646" s="9"/>
      <c r="E646" s="9"/>
      <c r="F646" s="9"/>
      <c r="G646" s="12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ht="15.75">
      <c r="A647" s="9"/>
      <c r="B647" s="10"/>
      <c r="C647" s="9"/>
      <c r="D647" s="9"/>
      <c r="E647" s="9"/>
      <c r="F647" s="9"/>
      <c r="G647" s="12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ht="15.75">
      <c r="A648" s="9"/>
      <c r="B648" s="10"/>
      <c r="C648" s="9"/>
      <c r="D648" s="9"/>
      <c r="E648" s="9"/>
      <c r="F648" s="9"/>
      <c r="G648" s="12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ht="15.75">
      <c r="A649" s="9"/>
      <c r="B649" s="10"/>
      <c r="C649" s="9"/>
      <c r="D649" s="9"/>
      <c r="E649" s="9"/>
      <c r="F649" s="9"/>
      <c r="G649" s="12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ht="15.75">
      <c r="A650" s="9"/>
      <c r="B650" s="10"/>
      <c r="C650" s="9"/>
      <c r="D650" s="9"/>
      <c r="E650" s="9"/>
      <c r="F650" s="9"/>
      <c r="G650" s="12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ht="15.75">
      <c r="A651" s="9"/>
      <c r="B651" s="10"/>
      <c r="C651" s="9"/>
      <c r="D651" s="9"/>
      <c r="E651" s="9"/>
      <c r="F651" s="9"/>
      <c r="G651" s="12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ht="15.75">
      <c r="A652" s="9"/>
      <c r="B652" s="10"/>
      <c r="C652" s="9"/>
      <c r="D652" s="9"/>
      <c r="E652" s="9"/>
      <c r="F652" s="9"/>
      <c r="G652" s="12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ht="15.75">
      <c r="A653" s="9"/>
      <c r="B653" s="10"/>
      <c r="C653" s="9"/>
      <c r="D653" s="9"/>
      <c r="E653" s="9"/>
      <c r="F653" s="9"/>
      <c r="G653" s="12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ht="15.75">
      <c r="A654" s="9"/>
      <c r="B654" s="10"/>
      <c r="C654" s="9"/>
      <c r="D654" s="9"/>
      <c r="E654" s="9"/>
      <c r="F654" s="9"/>
      <c r="G654" s="12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ht="15.75">
      <c r="A655" s="9"/>
      <c r="B655" s="10"/>
      <c r="C655" s="9"/>
      <c r="D655" s="9"/>
      <c r="E655" s="9"/>
      <c r="F655" s="9"/>
      <c r="G655" s="12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ht="15.75">
      <c r="A656" s="9"/>
      <c r="B656" s="10"/>
      <c r="C656" s="9"/>
      <c r="D656" s="9"/>
      <c r="E656" s="9"/>
      <c r="F656" s="9"/>
      <c r="G656" s="12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ht="15.75">
      <c r="A657" s="9"/>
      <c r="B657" s="10"/>
      <c r="C657" s="9"/>
      <c r="D657" s="9"/>
      <c r="E657" s="9"/>
      <c r="F657" s="9"/>
      <c r="G657" s="12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ht="15.75">
      <c r="A658" s="9"/>
      <c r="B658" s="10"/>
      <c r="C658" s="9"/>
      <c r="D658" s="9"/>
      <c r="E658" s="9"/>
      <c r="F658" s="9"/>
      <c r="G658" s="12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ht="15.75">
      <c r="A659" s="9"/>
      <c r="B659" s="10"/>
      <c r="C659" s="9"/>
      <c r="D659" s="9"/>
      <c r="E659" s="9"/>
      <c r="F659" s="9"/>
      <c r="G659" s="12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ht="15.75">
      <c r="A660" s="9"/>
      <c r="B660" s="10"/>
      <c r="C660" s="9"/>
      <c r="D660" s="9"/>
      <c r="E660" s="9"/>
      <c r="F660" s="9"/>
      <c r="G660" s="12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ht="15.75">
      <c r="A661" s="9"/>
      <c r="B661" s="10"/>
      <c r="C661" s="9"/>
      <c r="D661" s="9"/>
      <c r="E661" s="9"/>
      <c r="F661" s="9"/>
      <c r="G661" s="12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ht="15.75">
      <c r="A662" s="9"/>
      <c r="B662" s="10"/>
      <c r="C662" s="9"/>
      <c r="D662" s="9"/>
      <c r="E662" s="9"/>
      <c r="F662" s="9"/>
      <c r="G662" s="12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ht="15.75">
      <c r="A663" s="9"/>
      <c r="B663" s="10"/>
      <c r="C663" s="9"/>
      <c r="D663" s="9"/>
      <c r="E663" s="9"/>
      <c r="F663" s="9"/>
      <c r="G663" s="12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ht="15.75">
      <c r="A664" s="9"/>
      <c r="B664" s="10"/>
      <c r="C664" s="9"/>
      <c r="D664" s="9"/>
      <c r="E664" s="9"/>
      <c r="F664" s="9"/>
      <c r="G664" s="12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ht="15.75">
      <c r="A665" s="9"/>
      <c r="B665" s="10"/>
      <c r="C665" s="9"/>
      <c r="D665" s="9"/>
      <c r="E665" s="9"/>
      <c r="F665" s="9"/>
      <c r="G665" s="12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ht="15.75">
      <c r="A666" s="9"/>
      <c r="B666" s="10"/>
      <c r="C666" s="9"/>
      <c r="D666" s="9"/>
      <c r="E666" s="9"/>
      <c r="F666" s="9"/>
      <c r="G666" s="12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ht="15.75">
      <c r="A667" s="9"/>
      <c r="B667" s="10"/>
      <c r="C667" s="9"/>
      <c r="D667" s="9"/>
      <c r="E667" s="9"/>
      <c r="F667" s="9"/>
      <c r="G667" s="1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ht="15.75">
      <c r="A668" s="9"/>
      <c r="B668" s="10"/>
      <c r="C668" s="9"/>
      <c r="D668" s="9"/>
      <c r="E668" s="9"/>
      <c r="F668" s="9"/>
      <c r="G668" s="12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ht="15.75">
      <c r="A669" s="9"/>
      <c r="B669" s="10"/>
      <c r="C669" s="9"/>
      <c r="D669" s="9"/>
      <c r="E669" s="9"/>
      <c r="F669" s="9"/>
      <c r="G669" s="12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spans="1:32" ht="15.75">
      <c r="A670" s="9"/>
      <c r="B670" s="10"/>
      <c r="C670" s="9"/>
      <c r="D670" s="9"/>
      <c r="E670" s="9"/>
      <c r="F670" s="9"/>
      <c r="G670" s="12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spans="1:32" ht="15.75">
      <c r="A671" s="9"/>
      <c r="B671" s="10"/>
      <c r="C671" s="9"/>
      <c r="D671" s="9"/>
      <c r="E671" s="9"/>
      <c r="F671" s="9"/>
      <c r="G671" s="12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spans="1:32" ht="15.75">
      <c r="A672" s="9"/>
      <c r="B672" s="10"/>
      <c r="C672" s="9"/>
      <c r="D672" s="9"/>
      <c r="E672" s="9"/>
      <c r="F672" s="9"/>
      <c r="G672" s="12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spans="1:32" ht="15.75">
      <c r="A673" s="9"/>
      <c r="B673" s="10"/>
      <c r="C673" s="9"/>
      <c r="D673" s="9"/>
      <c r="E673" s="9"/>
      <c r="F673" s="9"/>
      <c r="G673" s="12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spans="1:32" ht="15.75">
      <c r="A674" s="9"/>
      <c r="B674" s="10"/>
      <c r="C674" s="9"/>
      <c r="D674" s="9"/>
      <c r="E674" s="9"/>
      <c r="F674" s="9"/>
      <c r="G674" s="12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spans="1:32" ht="15.75">
      <c r="A675" s="9"/>
      <c r="B675" s="10"/>
      <c r="C675" s="9"/>
      <c r="D675" s="9"/>
      <c r="E675" s="9"/>
      <c r="F675" s="9"/>
      <c r="G675" s="12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spans="1:32" ht="15.75">
      <c r="A676" s="9"/>
      <c r="B676" s="10"/>
      <c r="C676" s="9"/>
      <c r="D676" s="9"/>
      <c r="E676" s="9"/>
      <c r="F676" s="9"/>
      <c r="G676" s="12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spans="1:32" ht="15.75">
      <c r="A677" s="9"/>
      <c r="B677" s="10"/>
      <c r="C677" s="9"/>
      <c r="D677" s="9"/>
      <c r="E677" s="9"/>
      <c r="F677" s="9"/>
      <c r="G677" s="12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spans="1:32" ht="15.75">
      <c r="A678" s="9"/>
      <c r="B678" s="10"/>
      <c r="C678" s="9"/>
      <c r="D678" s="9"/>
      <c r="E678" s="9"/>
      <c r="F678" s="9"/>
      <c r="G678" s="12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spans="1:32" ht="15.75">
      <c r="A679" s="9"/>
      <c r="B679" s="10"/>
      <c r="C679" s="9"/>
      <c r="D679" s="9"/>
      <c r="E679" s="9"/>
      <c r="F679" s="9"/>
      <c r="G679" s="12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spans="1:32" ht="15.75">
      <c r="A680" s="9"/>
      <c r="B680" s="10"/>
      <c r="C680" s="9"/>
      <c r="D680" s="9"/>
      <c r="E680" s="9"/>
      <c r="F680" s="9"/>
      <c r="G680" s="12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spans="1:32" ht="15.75">
      <c r="A681" s="9"/>
      <c r="B681" s="10"/>
      <c r="C681" s="9"/>
      <c r="D681" s="9"/>
      <c r="E681" s="9"/>
      <c r="F681" s="9"/>
      <c r="G681" s="12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spans="1:32" ht="15.75">
      <c r="A682" s="9"/>
      <c r="B682" s="10"/>
      <c r="C682" s="9"/>
      <c r="D682" s="9"/>
      <c r="E682" s="9"/>
      <c r="F682" s="9"/>
      <c r="G682" s="12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spans="1:32" ht="15.75">
      <c r="A683" s="9"/>
      <c r="B683" s="10"/>
      <c r="C683" s="9"/>
      <c r="D683" s="9"/>
      <c r="E683" s="9"/>
      <c r="F683" s="9"/>
      <c r="G683" s="12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spans="1:32" ht="15.75">
      <c r="A684" s="9"/>
      <c r="B684" s="10"/>
      <c r="C684" s="9"/>
      <c r="D684" s="9"/>
      <c r="E684" s="9"/>
      <c r="F684" s="9"/>
      <c r="G684" s="12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spans="1:32" ht="15.75">
      <c r="A685" s="9"/>
      <c r="B685" s="10"/>
      <c r="C685" s="9"/>
      <c r="D685" s="9"/>
      <c r="E685" s="9"/>
      <c r="F685" s="9"/>
      <c r="G685" s="12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spans="1:32" ht="15.75">
      <c r="A686" s="9"/>
      <c r="B686" s="10"/>
      <c r="C686" s="9"/>
      <c r="D686" s="9"/>
      <c r="E686" s="9"/>
      <c r="F686" s="9"/>
      <c r="G686" s="12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spans="1:32" ht="15.75">
      <c r="A687" s="9"/>
      <c r="B687" s="10"/>
      <c r="C687" s="9"/>
      <c r="D687" s="9"/>
      <c r="E687" s="9"/>
      <c r="F687" s="9"/>
      <c r="G687" s="12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spans="1:32" ht="15.75">
      <c r="A688" s="9"/>
      <c r="B688" s="10"/>
      <c r="C688" s="9"/>
      <c r="D688" s="9"/>
      <c r="E688" s="9"/>
      <c r="F688" s="9"/>
      <c r="G688" s="12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spans="1:32" ht="15.75">
      <c r="A689" s="9"/>
      <c r="B689" s="10"/>
      <c r="C689" s="9"/>
      <c r="D689" s="9"/>
      <c r="E689" s="9"/>
      <c r="F689" s="9"/>
      <c r="G689" s="12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spans="1:32" ht="15.75">
      <c r="A690" s="9"/>
      <c r="B690" s="10"/>
      <c r="C690" s="9"/>
      <c r="D690" s="9"/>
      <c r="E690" s="9"/>
      <c r="F690" s="9"/>
      <c r="G690" s="12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spans="1:32" ht="15.75">
      <c r="A691" s="9"/>
      <c r="B691" s="10"/>
      <c r="C691" s="9"/>
      <c r="D691" s="9"/>
      <c r="E691" s="9"/>
      <c r="F691" s="9"/>
      <c r="G691" s="12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spans="1:32" ht="15.75">
      <c r="A692" s="9"/>
      <c r="B692" s="10"/>
      <c r="C692" s="9"/>
      <c r="D692" s="9"/>
      <c r="E692" s="9"/>
      <c r="F692" s="9"/>
      <c r="G692" s="12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spans="1:32" ht="15.75">
      <c r="A693" s="9"/>
      <c r="B693" s="10"/>
      <c r="C693" s="9"/>
      <c r="D693" s="9"/>
      <c r="E693" s="9"/>
      <c r="F693" s="9"/>
      <c r="G693" s="12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spans="1:32" ht="15.75">
      <c r="A694" s="9"/>
      <c r="B694" s="10"/>
      <c r="C694" s="9"/>
      <c r="D694" s="9"/>
      <c r="E694" s="9"/>
      <c r="F694" s="9"/>
      <c r="G694" s="12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spans="1:32" ht="15.75">
      <c r="A695" s="9"/>
      <c r="B695" s="10"/>
      <c r="C695" s="9"/>
      <c r="D695" s="9"/>
      <c r="E695" s="9"/>
      <c r="F695" s="9"/>
      <c r="G695" s="12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spans="1:32" ht="15.75">
      <c r="A696" s="9"/>
      <c r="B696" s="10"/>
      <c r="C696" s="9"/>
      <c r="D696" s="9"/>
      <c r="E696" s="9"/>
      <c r="F696" s="9"/>
      <c r="G696" s="12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spans="1:32" ht="15.75">
      <c r="A697" s="9"/>
      <c r="B697" s="10"/>
      <c r="C697" s="9"/>
      <c r="D697" s="9"/>
      <c r="E697" s="9"/>
      <c r="F697" s="9"/>
      <c r="G697" s="12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spans="1:32" ht="15.75">
      <c r="A698" s="9"/>
      <c r="B698" s="10"/>
      <c r="C698" s="9"/>
      <c r="D698" s="9"/>
      <c r="E698" s="9"/>
      <c r="F698" s="9"/>
      <c r="G698" s="12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spans="1:32" ht="15.75">
      <c r="A699" s="9"/>
      <c r="B699" s="10"/>
      <c r="C699" s="9"/>
      <c r="D699" s="9"/>
      <c r="E699" s="9"/>
      <c r="F699" s="9"/>
      <c r="G699" s="12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spans="1:32" ht="15.75">
      <c r="A700" s="9"/>
      <c r="B700" s="10"/>
      <c r="C700" s="9"/>
      <c r="D700" s="9"/>
      <c r="E700" s="9"/>
      <c r="F700" s="9"/>
      <c r="G700" s="12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spans="1:32" ht="15.75">
      <c r="A701" s="9"/>
      <c r="B701" s="10"/>
      <c r="C701" s="9"/>
      <c r="D701" s="9"/>
      <c r="E701" s="9"/>
      <c r="F701" s="9"/>
      <c r="G701" s="12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spans="1:32" ht="15.75">
      <c r="A702" s="9"/>
      <c r="B702" s="10"/>
      <c r="C702" s="9"/>
      <c r="D702" s="9"/>
      <c r="E702" s="9"/>
      <c r="F702" s="9"/>
      <c r="G702" s="12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spans="1:32" ht="15.75">
      <c r="A703" s="9"/>
      <c r="B703" s="10"/>
      <c r="C703" s="9"/>
      <c r="D703" s="9"/>
      <c r="E703" s="9"/>
      <c r="F703" s="9"/>
      <c r="G703" s="12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spans="1:32" ht="15.75">
      <c r="A704" s="9"/>
      <c r="B704" s="10"/>
      <c r="C704" s="9"/>
      <c r="D704" s="9"/>
      <c r="E704" s="9"/>
      <c r="F704" s="9"/>
      <c r="G704" s="12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spans="1:32" ht="15.75">
      <c r="A705" s="9"/>
      <c r="B705" s="10"/>
      <c r="C705" s="9"/>
      <c r="D705" s="9"/>
      <c r="E705" s="9"/>
      <c r="F705" s="9"/>
      <c r="G705" s="12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spans="1:32" ht="15.75">
      <c r="A706" s="9"/>
      <c r="B706" s="10"/>
      <c r="C706" s="9"/>
      <c r="D706" s="9"/>
      <c r="E706" s="9"/>
      <c r="F706" s="9"/>
      <c r="G706" s="12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spans="1:32" ht="15.75">
      <c r="A707" s="9"/>
      <c r="B707" s="10"/>
      <c r="C707" s="9"/>
      <c r="D707" s="9"/>
      <c r="E707" s="9"/>
      <c r="F707" s="9"/>
      <c r="G707" s="12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spans="1:32" ht="15.75">
      <c r="A708" s="9"/>
      <c r="B708" s="10"/>
      <c r="C708" s="9"/>
      <c r="D708" s="9"/>
      <c r="E708" s="9"/>
      <c r="F708" s="9"/>
      <c r="G708" s="12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spans="1:32" ht="15.75">
      <c r="A709" s="9"/>
      <c r="B709" s="10"/>
      <c r="C709" s="9"/>
      <c r="D709" s="9"/>
      <c r="E709" s="9"/>
      <c r="F709" s="9"/>
      <c r="G709" s="12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spans="1:32" ht="15.75">
      <c r="A710" s="9"/>
      <c r="B710" s="10"/>
      <c r="C710" s="9"/>
      <c r="D710" s="9"/>
      <c r="E710" s="9"/>
      <c r="F710" s="9"/>
      <c r="G710" s="12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spans="1:32" ht="15.75">
      <c r="A711" s="9"/>
      <c r="B711" s="10"/>
      <c r="C711" s="9"/>
      <c r="D711" s="9"/>
      <c r="E711" s="9"/>
      <c r="F711" s="9"/>
      <c r="G711" s="12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spans="1:32" ht="15.75">
      <c r="A712" s="9"/>
      <c r="B712" s="10"/>
      <c r="C712" s="9"/>
      <c r="D712" s="9"/>
      <c r="E712" s="9"/>
      <c r="F712" s="9"/>
      <c r="G712" s="12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spans="1:32" ht="15.75">
      <c r="A713" s="9"/>
      <c r="B713" s="10"/>
      <c r="C713" s="9"/>
      <c r="D713" s="9"/>
      <c r="E713" s="9"/>
      <c r="F713" s="9"/>
      <c r="G713" s="12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spans="1:32" ht="15.75">
      <c r="A714" s="9"/>
      <c r="B714" s="10"/>
      <c r="C714" s="9"/>
      <c r="D714" s="9"/>
      <c r="E714" s="9"/>
      <c r="F714" s="9"/>
      <c r="G714" s="12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spans="1:32" ht="15.75">
      <c r="A715" s="9"/>
      <c r="B715" s="10"/>
      <c r="C715" s="9"/>
      <c r="D715" s="9"/>
      <c r="E715" s="9"/>
      <c r="F715" s="9"/>
      <c r="G715" s="12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spans="1:32" ht="15.75">
      <c r="A716" s="9"/>
      <c r="B716" s="10"/>
      <c r="C716" s="9"/>
      <c r="D716" s="9"/>
      <c r="E716" s="9"/>
      <c r="F716" s="9"/>
      <c r="G716" s="12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spans="1:32" ht="15.75">
      <c r="A717" s="9"/>
      <c r="B717" s="10"/>
      <c r="C717" s="9"/>
      <c r="D717" s="9"/>
      <c r="E717" s="9"/>
      <c r="F717" s="9"/>
      <c r="G717" s="12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spans="1:32" ht="15.75">
      <c r="A718" s="9"/>
      <c r="B718" s="10"/>
      <c r="C718" s="9"/>
      <c r="D718" s="9"/>
      <c r="E718" s="9"/>
      <c r="F718" s="9"/>
      <c r="G718" s="12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spans="1:32" ht="15.75">
      <c r="A719" s="9"/>
      <c r="B719" s="10"/>
      <c r="C719" s="9"/>
      <c r="D719" s="9"/>
      <c r="E719" s="9"/>
      <c r="F719" s="9"/>
      <c r="G719" s="12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spans="1:32" ht="15.75">
      <c r="A720" s="9"/>
      <c r="B720" s="10"/>
      <c r="C720" s="9"/>
      <c r="D720" s="9"/>
      <c r="E720" s="9"/>
      <c r="F720" s="9"/>
      <c r="G720" s="12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spans="1:32" ht="15.75">
      <c r="A721" s="9"/>
      <c r="B721" s="10"/>
      <c r="C721" s="9"/>
      <c r="D721" s="9"/>
      <c r="E721" s="9"/>
      <c r="F721" s="9"/>
      <c r="G721" s="12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spans="1:32" ht="15.75">
      <c r="A722" s="9"/>
      <c r="B722" s="10"/>
      <c r="C722" s="9"/>
      <c r="D722" s="9"/>
      <c r="E722" s="9"/>
      <c r="F722" s="9"/>
      <c r="G722" s="12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spans="1:32" ht="15.75">
      <c r="A723" s="9"/>
      <c r="B723" s="10"/>
      <c r="C723" s="9"/>
      <c r="D723" s="9"/>
      <c r="E723" s="9"/>
      <c r="F723" s="9"/>
      <c r="G723" s="12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ht="15.75">
      <c r="A724" s="9"/>
      <c r="B724" s="10"/>
      <c r="C724" s="9"/>
      <c r="D724" s="9"/>
      <c r="E724" s="9"/>
      <c r="F724" s="9"/>
      <c r="G724" s="12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ht="15.75">
      <c r="A725" s="9"/>
      <c r="B725" s="10"/>
      <c r="C725" s="9"/>
      <c r="D725" s="9"/>
      <c r="E725" s="9"/>
      <c r="F725" s="9"/>
      <c r="G725" s="12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ht="15.75">
      <c r="A726" s="9"/>
      <c r="B726" s="10"/>
      <c r="C726" s="9"/>
      <c r="D726" s="9"/>
      <c r="E726" s="9"/>
      <c r="F726" s="9"/>
      <c r="G726" s="12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ht="15.75">
      <c r="A727" s="9"/>
      <c r="B727" s="10"/>
      <c r="C727" s="9"/>
      <c r="D727" s="9"/>
      <c r="E727" s="9"/>
      <c r="F727" s="9"/>
      <c r="G727" s="12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ht="15.75">
      <c r="A728" s="9"/>
      <c r="B728" s="10"/>
      <c r="C728" s="9"/>
      <c r="D728" s="9"/>
      <c r="E728" s="9"/>
      <c r="F728" s="9"/>
      <c r="G728" s="12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ht="15.75">
      <c r="A729" s="9"/>
      <c r="B729" s="10"/>
      <c r="C729" s="9"/>
      <c r="D729" s="9"/>
      <c r="E729" s="9"/>
      <c r="F729" s="9"/>
      <c r="G729" s="12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ht="15.75">
      <c r="A730" s="9"/>
      <c r="B730" s="10"/>
      <c r="C730" s="9"/>
      <c r="D730" s="9"/>
      <c r="E730" s="9"/>
      <c r="F730" s="9"/>
      <c r="G730" s="12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ht="15.75">
      <c r="A731" s="9"/>
      <c r="B731" s="10"/>
      <c r="C731" s="9"/>
      <c r="D731" s="9"/>
      <c r="E731" s="9"/>
      <c r="F731" s="9"/>
      <c r="G731" s="12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ht="15.75">
      <c r="A732" s="9"/>
      <c r="B732" s="10"/>
      <c r="C732" s="9"/>
      <c r="D732" s="9"/>
      <c r="E732" s="9"/>
      <c r="F732" s="9"/>
      <c r="G732" s="12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ht="15.75">
      <c r="A733" s="9"/>
      <c r="B733" s="10"/>
      <c r="C733" s="9"/>
      <c r="D733" s="9"/>
      <c r="E733" s="9"/>
      <c r="F733" s="9"/>
      <c r="G733" s="12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ht="15.75">
      <c r="A734" s="9"/>
      <c r="B734" s="10"/>
      <c r="C734" s="9"/>
      <c r="D734" s="9"/>
      <c r="E734" s="9"/>
      <c r="F734" s="9"/>
      <c r="G734" s="12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ht="15.75">
      <c r="A735" s="9"/>
      <c r="B735" s="10"/>
      <c r="C735" s="9"/>
      <c r="D735" s="9"/>
      <c r="E735" s="9"/>
      <c r="F735" s="9"/>
      <c r="G735" s="12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ht="15.75">
      <c r="A736" s="9"/>
      <c r="B736" s="10"/>
      <c r="C736" s="9"/>
      <c r="D736" s="9"/>
      <c r="E736" s="9"/>
      <c r="F736" s="9"/>
      <c r="G736" s="12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ht="15.75">
      <c r="A737" s="9"/>
      <c r="B737" s="10"/>
      <c r="C737" s="9"/>
      <c r="D737" s="9"/>
      <c r="E737" s="9"/>
      <c r="F737" s="9"/>
      <c r="G737" s="12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ht="15.75">
      <c r="A738" s="9"/>
      <c r="B738" s="10"/>
      <c r="C738" s="9"/>
      <c r="D738" s="9"/>
      <c r="E738" s="9"/>
      <c r="F738" s="9"/>
      <c r="G738" s="12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ht="15.75">
      <c r="A739" s="9"/>
      <c r="B739" s="10"/>
      <c r="C739" s="9"/>
      <c r="D739" s="9"/>
      <c r="E739" s="9"/>
      <c r="F739" s="9"/>
      <c r="G739" s="12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ht="15.75">
      <c r="A740" s="9"/>
      <c r="B740" s="10"/>
      <c r="C740" s="9"/>
      <c r="D740" s="9"/>
      <c r="E740" s="9"/>
      <c r="F740" s="9"/>
      <c r="G740" s="12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ht="15.75">
      <c r="A741" s="9"/>
      <c r="B741" s="10"/>
      <c r="C741" s="9"/>
      <c r="D741" s="9"/>
      <c r="E741" s="9"/>
      <c r="F741" s="9"/>
      <c r="G741" s="12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ht="15.75">
      <c r="A742" s="9"/>
      <c r="B742" s="10"/>
      <c r="C742" s="9"/>
      <c r="D742" s="9"/>
      <c r="E742" s="9"/>
      <c r="F742" s="9"/>
      <c r="G742" s="12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ht="15.75">
      <c r="A743" s="9"/>
      <c r="B743" s="10"/>
      <c r="C743" s="9"/>
      <c r="D743" s="9"/>
      <c r="E743" s="9"/>
      <c r="F743" s="9"/>
      <c r="G743" s="12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ht="15.75">
      <c r="A744" s="9"/>
      <c r="B744" s="10"/>
      <c r="C744" s="9"/>
      <c r="D744" s="9"/>
      <c r="E744" s="9"/>
      <c r="F744" s="9"/>
      <c r="G744" s="12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ht="15.75">
      <c r="A745" s="9"/>
      <c r="B745" s="10"/>
      <c r="C745" s="9"/>
      <c r="D745" s="9"/>
      <c r="E745" s="9"/>
      <c r="F745" s="9"/>
      <c r="G745" s="12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ht="15.75">
      <c r="A746" s="9"/>
      <c r="B746" s="10"/>
      <c r="C746" s="9"/>
      <c r="D746" s="9"/>
      <c r="E746" s="9"/>
      <c r="F746" s="9"/>
      <c r="G746" s="12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ht="15.75">
      <c r="A747" s="9"/>
      <c r="B747" s="10"/>
      <c r="C747" s="9"/>
      <c r="D747" s="9"/>
      <c r="E747" s="9"/>
      <c r="F747" s="9"/>
      <c r="G747" s="12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ht="15.75">
      <c r="A748" s="9"/>
      <c r="B748" s="10"/>
      <c r="C748" s="9"/>
      <c r="D748" s="9"/>
      <c r="E748" s="9"/>
      <c r="F748" s="9"/>
      <c r="G748" s="12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spans="1:32" ht="15.75">
      <c r="A749" s="9"/>
      <c r="B749" s="10"/>
      <c r="C749" s="9"/>
      <c r="D749" s="9"/>
      <c r="E749" s="9"/>
      <c r="F749" s="9"/>
      <c r="G749" s="12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spans="1:32" ht="15.75">
      <c r="A750" s="9"/>
      <c r="B750" s="10"/>
      <c r="C750" s="9"/>
      <c r="D750" s="9"/>
      <c r="E750" s="9"/>
      <c r="F750" s="9"/>
      <c r="G750" s="12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spans="1:32" ht="15.75">
      <c r="A751" s="9"/>
      <c r="B751" s="10"/>
      <c r="C751" s="9"/>
      <c r="D751" s="9"/>
      <c r="E751" s="9"/>
      <c r="F751" s="9"/>
      <c r="G751" s="12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spans="1:32" ht="15.75">
      <c r="A752" s="9"/>
      <c r="B752" s="10"/>
      <c r="C752" s="9"/>
      <c r="D752" s="9"/>
      <c r="E752" s="9"/>
      <c r="F752" s="9"/>
      <c r="G752" s="12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spans="1:32" ht="15.75">
      <c r="A753" s="9"/>
      <c r="B753" s="10"/>
      <c r="C753" s="9"/>
      <c r="D753" s="9"/>
      <c r="E753" s="9"/>
      <c r="F753" s="9"/>
      <c r="G753" s="12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spans="1:32" ht="15.75">
      <c r="A754" s="9"/>
      <c r="B754" s="10"/>
      <c r="C754" s="9"/>
      <c r="D754" s="9"/>
      <c r="E754" s="9"/>
      <c r="F754" s="9"/>
      <c r="G754" s="12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spans="1:32" ht="15.75">
      <c r="A755" s="9"/>
      <c r="B755" s="10"/>
      <c r="C755" s="9"/>
      <c r="D755" s="9"/>
      <c r="E755" s="9"/>
      <c r="F755" s="9"/>
      <c r="G755" s="12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spans="1:32" ht="15.75">
      <c r="A756" s="9"/>
      <c r="B756" s="10"/>
      <c r="C756" s="9"/>
      <c r="D756" s="9"/>
      <c r="E756" s="9"/>
      <c r="F756" s="9"/>
      <c r="G756" s="12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spans="1:32" ht="15.75">
      <c r="A757" s="9"/>
      <c r="B757" s="10"/>
      <c r="C757" s="9"/>
      <c r="D757" s="9"/>
      <c r="E757" s="9"/>
      <c r="F757" s="9"/>
      <c r="G757" s="12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spans="1:32" ht="15.75">
      <c r="A758" s="9"/>
      <c r="B758" s="10"/>
      <c r="C758" s="9"/>
      <c r="D758" s="9"/>
      <c r="E758" s="9"/>
      <c r="F758" s="9"/>
      <c r="G758" s="12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spans="1:32" ht="15.75">
      <c r="A759" s="9"/>
      <c r="B759" s="10"/>
      <c r="C759" s="9"/>
      <c r="D759" s="9"/>
      <c r="E759" s="9"/>
      <c r="F759" s="9"/>
      <c r="G759" s="12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spans="1:32" ht="15.75">
      <c r="A760" s="9"/>
      <c r="B760" s="10"/>
      <c r="C760" s="9"/>
      <c r="D760" s="9"/>
      <c r="E760" s="9"/>
      <c r="F760" s="9"/>
      <c r="G760" s="12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spans="1:32" ht="15.75">
      <c r="A761" s="9"/>
      <c r="B761" s="10"/>
      <c r="C761" s="9"/>
      <c r="D761" s="9"/>
      <c r="E761" s="9"/>
      <c r="F761" s="9"/>
      <c r="G761" s="12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spans="1:32" ht="15.75">
      <c r="A762" s="9"/>
      <c r="B762" s="10"/>
      <c r="C762" s="9"/>
      <c r="D762" s="9"/>
      <c r="E762" s="9"/>
      <c r="F762" s="9"/>
      <c r="G762" s="12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spans="1:32" ht="15.75">
      <c r="A763" s="9"/>
      <c r="B763" s="10"/>
      <c r="C763" s="9"/>
      <c r="D763" s="9"/>
      <c r="E763" s="9"/>
      <c r="F763" s="9"/>
      <c r="G763" s="12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spans="1:32" ht="15.75">
      <c r="A764" s="9"/>
      <c r="B764" s="10"/>
      <c r="C764" s="9"/>
      <c r="D764" s="9"/>
      <c r="E764" s="9"/>
      <c r="F764" s="9"/>
      <c r="G764" s="12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spans="1:32" ht="15.75">
      <c r="A765" s="9"/>
      <c r="B765" s="10"/>
      <c r="C765" s="9"/>
      <c r="D765" s="9"/>
      <c r="E765" s="9"/>
      <c r="F765" s="9"/>
      <c r="G765" s="12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spans="1:32" ht="15.75">
      <c r="A766" s="9"/>
      <c r="B766" s="10"/>
      <c r="C766" s="9"/>
      <c r="D766" s="9"/>
      <c r="E766" s="9"/>
      <c r="F766" s="9"/>
      <c r="G766" s="12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spans="1:32" ht="15.75">
      <c r="A767" s="9"/>
      <c r="B767" s="10"/>
      <c r="C767" s="9"/>
      <c r="D767" s="9"/>
      <c r="E767" s="9"/>
      <c r="F767" s="9"/>
      <c r="G767" s="12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spans="1:32" ht="15.75">
      <c r="A768" s="9"/>
      <c r="B768" s="10"/>
      <c r="C768" s="9"/>
      <c r="D768" s="9"/>
      <c r="E768" s="9"/>
      <c r="F768" s="9"/>
      <c r="G768" s="12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spans="1:32" ht="15.75">
      <c r="A769" s="9"/>
      <c r="B769" s="10"/>
      <c r="C769" s="9"/>
      <c r="D769" s="9"/>
      <c r="E769" s="9"/>
      <c r="F769" s="9"/>
      <c r="G769" s="12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spans="1:32" ht="15.75">
      <c r="A770" s="9"/>
      <c r="B770" s="10"/>
      <c r="C770" s="9"/>
      <c r="D770" s="9"/>
      <c r="E770" s="9"/>
      <c r="F770" s="9"/>
      <c r="G770" s="12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spans="1:32" ht="15.75">
      <c r="A771" s="9"/>
      <c r="B771" s="10"/>
      <c r="C771" s="9"/>
      <c r="D771" s="9"/>
      <c r="E771" s="9"/>
      <c r="F771" s="9"/>
      <c r="G771" s="12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spans="1:32" ht="15.75">
      <c r="A772" s="9"/>
      <c r="B772" s="10"/>
      <c r="C772" s="9"/>
      <c r="D772" s="9"/>
      <c r="E772" s="9"/>
      <c r="F772" s="9"/>
      <c r="G772" s="12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spans="1:32" ht="15.75">
      <c r="A773" s="9"/>
      <c r="B773" s="10"/>
      <c r="C773" s="9"/>
      <c r="D773" s="9"/>
      <c r="E773" s="9"/>
      <c r="F773" s="9"/>
      <c r="G773" s="12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spans="1:32" ht="15.75">
      <c r="A774" s="9"/>
      <c r="B774" s="10"/>
      <c r="C774" s="9"/>
      <c r="D774" s="9"/>
      <c r="E774" s="9"/>
      <c r="F774" s="9"/>
      <c r="G774" s="12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spans="1:32" ht="15.75">
      <c r="A775" s="9"/>
      <c r="B775" s="10"/>
      <c r="C775" s="9"/>
      <c r="D775" s="9"/>
      <c r="E775" s="9"/>
      <c r="F775" s="9"/>
      <c r="G775" s="12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spans="1:32" ht="15.75">
      <c r="A776" s="9"/>
      <c r="B776" s="10"/>
      <c r="C776" s="9"/>
      <c r="D776" s="9"/>
      <c r="E776" s="9"/>
      <c r="F776" s="9"/>
      <c r="G776" s="12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spans="1:32" ht="15.75">
      <c r="A777" s="9"/>
      <c r="B777" s="10"/>
      <c r="C777" s="9"/>
      <c r="D777" s="9"/>
      <c r="E777" s="9"/>
      <c r="F777" s="9"/>
      <c r="G777" s="12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spans="1:32" ht="15.75">
      <c r="A778" s="9"/>
      <c r="B778" s="10"/>
      <c r="C778" s="9"/>
      <c r="D778" s="9"/>
      <c r="E778" s="9"/>
      <c r="F778" s="9"/>
      <c r="G778" s="12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spans="1:32" ht="15.75">
      <c r="A779" s="9"/>
      <c r="B779" s="10"/>
      <c r="C779" s="9"/>
      <c r="D779" s="9"/>
      <c r="E779" s="9"/>
      <c r="F779" s="9"/>
      <c r="G779" s="12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spans="1:32" ht="15.75">
      <c r="A780" s="9"/>
      <c r="B780" s="10"/>
      <c r="C780" s="9"/>
      <c r="D780" s="9"/>
      <c r="E780" s="9"/>
      <c r="F780" s="9"/>
      <c r="G780" s="12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spans="1:32" ht="15.75">
      <c r="A781" s="9"/>
      <c r="B781" s="10"/>
      <c r="C781" s="9"/>
      <c r="D781" s="9"/>
      <c r="E781" s="9"/>
      <c r="F781" s="9"/>
      <c r="G781" s="12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spans="1:32" ht="15.75">
      <c r="A782" s="9"/>
      <c r="B782" s="10"/>
      <c r="C782" s="9"/>
      <c r="D782" s="9"/>
      <c r="E782" s="9"/>
      <c r="F782" s="9"/>
      <c r="G782" s="12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spans="1:32" ht="15.75">
      <c r="A783" s="9"/>
      <c r="B783" s="10"/>
      <c r="C783" s="9"/>
      <c r="D783" s="9"/>
      <c r="E783" s="9"/>
      <c r="F783" s="9"/>
      <c r="G783" s="12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spans="1:32" ht="15.75">
      <c r="A784" s="9"/>
      <c r="B784" s="10"/>
      <c r="C784" s="9"/>
      <c r="D784" s="9"/>
      <c r="E784" s="9"/>
      <c r="F784" s="9"/>
      <c r="G784" s="12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spans="1:32" ht="15.75">
      <c r="A785" s="9"/>
      <c r="B785" s="10"/>
      <c r="C785" s="9"/>
      <c r="D785" s="9"/>
      <c r="E785" s="9"/>
      <c r="F785" s="9"/>
      <c r="G785" s="12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spans="1:32" ht="15.75">
      <c r="A786" s="9"/>
      <c r="B786" s="10"/>
      <c r="C786" s="9"/>
      <c r="D786" s="9"/>
      <c r="E786" s="9"/>
      <c r="F786" s="9"/>
      <c r="G786" s="12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spans="1:32" ht="15.75">
      <c r="A787" s="9"/>
      <c r="B787" s="10"/>
      <c r="C787" s="9"/>
      <c r="D787" s="9"/>
      <c r="E787" s="9"/>
      <c r="F787" s="9"/>
      <c r="G787" s="12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spans="1:32" ht="15.75">
      <c r="A788" s="9"/>
      <c r="B788" s="10"/>
      <c r="C788" s="9"/>
      <c r="D788" s="9"/>
      <c r="E788" s="9"/>
      <c r="F788" s="9"/>
      <c r="G788" s="12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spans="1:32" ht="15.75">
      <c r="A789" s="9"/>
      <c r="B789" s="10"/>
      <c r="C789" s="9"/>
      <c r="D789" s="9"/>
      <c r="E789" s="9"/>
      <c r="F789" s="9"/>
      <c r="G789" s="12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spans="1:32" ht="15.75">
      <c r="A790" s="9"/>
      <c r="B790" s="10"/>
      <c r="C790" s="9"/>
      <c r="D790" s="9"/>
      <c r="E790" s="9"/>
      <c r="F790" s="9"/>
      <c r="G790" s="12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spans="1:32" ht="15.75">
      <c r="A791" s="9"/>
      <c r="B791" s="10"/>
      <c r="C791" s="9"/>
      <c r="D791" s="9"/>
      <c r="E791" s="9"/>
      <c r="F791" s="9"/>
      <c r="G791" s="12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spans="1:32" ht="15.75">
      <c r="A792" s="9"/>
      <c r="B792" s="10"/>
      <c r="C792" s="9"/>
      <c r="D792" s="9"/>
      <c r="E792" s="9"/>
      <c r="F792" s="9"/>
      <c r="G792" s="12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spans="1:32" ht="15.75">
      <c r="A793" s="9"/>
      <c r="B793" s="10"/>
      <c r="C793" s="9"/>
      <c r="D793" s="9"/>
      <c r="E793" s="9"/>
      <c r="F793" s="9"/>
      <c r="G793" s="12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spans="1:32" ht="15.75">
      <c r="A794" s="9"/>
      <c r="B794" s="10"/>
      <c r="C794" s="9"/>
      <c r="D794" s="9"/>
      <c r="E794" s="9"/>
      <c r="F794" s="9"/>
      <c r="G794" s="12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spans="1:32" ht="15.75">
      <c r="A795" s="9"/>
      <c r="B795" s="10"/>
      <c r="C795" s="9"/>
      <c r="D795" s="9"/>
      <c r="E795" s="9"/>
      <c r="F795" s="9"/>
      <c r="G795" s="12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spans="1:32" ht="15.75">
      <c r="A796" s="9"/>
      <c r="B796" s="10"/>
      <c r="C796" s="9"/>
      <c r="D796" s="9"/>
      <c r="E796" s="9"/>
      <c r="F796" s="9"/>
      <c r="G796" s="12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spans="1:32" ht="15.75">
      <c r="A797" s="9"/>
      <c r="B797" s="10"/>
      <c r="C797" s="9"/>
      <c r="D797" s="9"/>
      <c r="E797" s="9"/>
      <c r="F797" s="9"/>
      <c r="G797" s="12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spans="1:32" ht="15.75">
      <c r="A798" s="9"/>
      <c r="B798" s="10"/>
      <c r="C798" s="9"/>
      <c r="D798" s="9"/>
      <c r="E798" s="9"/>
      <c r="F798" s="9"/>
      <c r="G798" s="12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spans="1:32" ht="15.75">
      <c r="A799" s="9"/>
      <c r="B799" s="10"/>
      <c r="C799" s="9"/>
      <c r="D799" s="9"/>
      <c r="E799" s="9"/>
      <c r="F799" s="9"/>
      <c r="G799" s="12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spans="1:32" ht="15.75">
      <c r="A800" s="9"/>
      <c r="B800" s="10"/>
      <c r="C800" s="9"/>
      <c r="D800" s="9"/>
      <c r="E800" s="9"/>
      <c r="F800" s="9"/>
      <c r="G800" s="12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spans="1:32" ht="15.75">
      <c r="A801" s="9"/>
      <c r="B801" s="10"/>
      <c r="C801" s="9"/>
      <c r="D801" s="9"/>
      <c r="E801" s="9"/>
      <c r="F801" s="9"/>
      <c r="G801" s="12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spans="1:32" ht="15.75">
      <c r="A802" s="9"/>
      <c r="B802" s="10"/>
      <c r="C802" s="9"/>
      <c r="D802" s="9"/>
      <c r="E802" s="9"/>
      <c r="F802" s="9"/>
      <c r="G802" s="12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spans="1:32" ht="15.75">
      <c r="A803" s="9"/>
      <c r="B803" s="10"/>
      <c r="C803" s="9"/>
      <c r="D803" s="9"/>
      <c r="E803" s="9"/>
      <c r="F803" s="9"/>
      <c r="G803" s="12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spans="1:32" ht="15.75">
      <c r="A804" s="9"/>
      <c r="B804" s="10"/>
      <c r="C804" s="9"/>
      <c r="D804" s="9"/>
      <c r="E804" s="9"/>
      <c r="F804" s="9"/>
      <c r="G804" s="12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spans="1:32" ht="15.75">
      <c r="A805" s="9"/>
      <c r="B805" s="10"/>
      <c r="C805" s="9"/>
      <c r="D805" s="9"/>
      <c r="E805" s="9"/>
      <c r="F805" s="9"/>
      <c r="G805" s="12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spans="1:32" ht="15.75">
      <c r="A806" s="9"/>
      <c r="B806" s="10"/>
      <c r="C806" s="9"/>
      <c r="D806" s="9"/>
      <c r="E806" s="9"/>
      <c r="F806" s="9"/>
      <c r="G806" s="12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spans="1:32" ht="15.75">
      <c r="A807" s="9"/>
      <c r="B807" s="10"/>
      <c r="C807" s="9"/>
      <c r="D807" s="9"/>
      <c r="E807" s="9"/>
      <c r="F807" s="9"/>
      <c r="G807" s="12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spans="1:32" ht="15.75">
      <c r="A808" s="9"/>
      <c r="B808" s="10"/>
      <c r="C808" s="9"/>
      <c r="D808" s="9"/>
      <c r="E808" s="9"/>
      <c r="F808" s="9"/>
      <c r="G808" s="12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spans="1:32" ht="15.75">
      <c r="A809" s="9"/>
      <c r="B809" s="10"/>
      <c r="C809" s="9"/>
      <c r="D809" s="9"/>
      <c r="E809" s="9"/>
      <c r="F809" s="9"/>
      <c r="G809" s="12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spans="1:32" ht="15.75">
      <c r="A810" s="9"/>
      <c r="B810" s="10"/>
      <c r="C810" s="9"/>
      <c r="D810" s="9"/>
      <c r="E810" s="9"/>
      <c r="F810" s="9"/>
      <c r="G810" s="12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spans="1:32" ht="15.75">
      <c r="A811" s="9"/>
      <c r="B811" s="10"/>
      <c r="C811" s="9"/>
      <c r="D811" s="9"/>
      <c r="E811" s="9"/>
      <c r="F811" s="9"/>
      <c r="G811" s="12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spans="1:32" ht="15.75">
      <c r="A812" s="9"/>
      <c r="B812" s="10"/>
      <c r="C812" s="9"/>
      <c r="D812" s="9"/>
      <c r="E812" s="9"/>
      <c r="F812" s="9"/>
      <c r="G812" s="12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spans="1:32" ht="15.75">
      <c r="A813" s="9"/>
      <c r="B813" s="10"/>
      <c r="C813" s="9"/>
      <c r="D813" s="9"/>
      <c r="E813" s="9"/>
      <c r="F813" s="9"/>
      <c r="G813" s="12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spans="1:32" ht="15.75">
      <c r="A814" s="9"/>
      <c r="B814" s="10"/>
      <c r="C814" s="9"/>
      <c r="D814" s="9"/>
      <c r="E814" s="9"/>
      <c r="F814" s="9"/>
      <c r="G814" s="12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spans="1:32" ht="15.75">
      <c r="A815" s="9"/>
      <c r="B815" s="10"/>
      <c r="C815" s="9"/>
      <c r="D815" s="9"/>
      <c r="E815" s="9"/>
      <c r="F815" s="9"/>
      <c r="G815" s="12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spans="1:32" ht="15.75">
      <c r="A816" s="9"/>
      <c r="B816" s="10"/>
      <c r="C816" s="9"/>
      <c r="D816" s="9"/>
      <c r="E816" s="9"/>
      <c r="F816" s="9"/>
      <c r="G816" s="12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spans="1:32" ht="15.75">
      <c r="A817" s="9"/>
      <c r="B817" s="10"/>
      <c r="C817" s="9"/>
      <c r="D817" s="9"/>
      <c r="E817" s="9"/>
      <c r="F817" s="9"/>
      <c r="G817" s="12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spans="1:32" ht="15.75">
      <c r="A818" s="9"/>
      <c r="B818" s="10"/>
      <c r="C818" s="9"/>
      <c r="D818" s="9"/>
      <c r="E818" s="9"/>
      <c r="F818" s="9"/>
      <c r="G818" s="12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spans="1:32" ht="15.75">
      <c r="A819" s="9"/>
      <c r="B819" s="10"/>
      <c r="C819" s="9"/>
      <c r="D819" s="9"/>
      <c r="E819" s="9"/>
      <c r="F819" s="9"/>
      <c r="G819" s="12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spans="1:32" ht="15.75">
      <c r="A820" s="9"/>
      <c r="B820" s="10"/>
      <c r="C820" s="9"/>
      <c r="D820" s="9"/>
      <c r="E820" s="9"/>
      <c r="F820" s="9"/>
      <c r="G820" s="12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spans="1:32" ht="15.75">
      <c r="A821" s="9"/>
      <c r="B821" s="10"/>
      <c r="C821" s="9"/>
      <c r="D821" s="9"/>
      <c r="E821" s="9"/>
      <c r="F821" s="9"/>
      <c r="G821" s="12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spans="1:32" ht="15.75">
      <c r="A822" s="9"/>
      <c r="B822" s="10"/>
      <c r="C822" s="9"/>
      <c r="D822" s="9"/>
      <c r="E822" s="9"/>
      <c r="F822" s="9"/>
      <c r="G822" s="12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spans="1:32" ht="15.75">
      <c r="A823" s="9"/>
      <c r="B823" s="10"/>
      <c r="C823" s="9"/>
      <c r="D823" s="9"/>
      <c r="E823" s="9"/>
      <c r="F823" s="9"/>
      <c r="G823" s="12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spans="1:32" ht="15.75">
      <c r="A824" s="9"/>
      <c r="B824" s="10"/>
      <c r="C824" s="9"/>
      <c r="D824" s="9"/>
      <c r="E824" s="9"/>
      <c r="F824" s="9"/>
      <c r="G824" s="12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spans="1:32" ht="15.75">
      <c r="A825" s="9"/>
      <c r="B825" s="10"/>
      <c r="C825" s="9"/>
      <c r="D825" s="9"/>
      <c r="E825" s="9"/>
      <c r="F825" s="9"/>
      <c r="G825" s="12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spans="1:32" ht="15.75">
      <c r="A826" s="9"/>
      <c r="B826" s="10"/>
      <c r="C826" s="9"/>
      <c r="D826" s="9"/>
      <c r="E826" s="9"/>
      <c r="F826" s="9"/>
      <c r="G826" s="12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spans="1:32" ht="15.75">
      <c r="A827" s="9"/>
      <c r="B827" s="10"/>
      <c r="C827" s="9"/>
      <c r="D827" s="9"/>
      <c r="E827" s="9"/>
      <c r="F827" s="9"/>
      <c r="G827" s="12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spans="1:32" ht="15.75">
      <c r="A828" s="9"/>
      <c r="B828" s="10"/>
      <c r="C828" s="9"/>
      <c r="D828" s="9"/>
      <c r="E828" s="9"/>
      <c r="F828" s="9"/>
      <c r="G828" s="12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spans="1:32" ht="15.75">
      <c r="A829" s="9"/>
      <c r="B829" s="10"/>
      <c r="C829" s="9"/>
      <c r="D829" s="9"/>
      <c r="E829" s="9"/>
      <c r="F829" s="9"/>
      <c r="G829" s="12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spans="1:32" ht="15.75">
      <c r="A830" s="9"/>
      <c r="B830" s="10"/>
      <c r="C830" s="9"/>
      <c r="D830" s="9"/>
      <c r="E830" s="9"/>
      <c r="F830" s="9"/>
      <c r="G830" s="12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spans="1:32" ht="15.75">
      <c r="A831" s="9"/>
      <c r="B831" s="10"/>
      <c r="C831" s="9"/>
      <c r="D831" s="9"/>
      <c r="E831" s="9"/>
      <c r="F831" s="9"/>
      <c r="G831" s="12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spans="1:32" ht="15.75">
      <c r="A832" s="9"/>
      <c r="B832" s="10"/>
      <c r="C832" s="9"/>
      <c r="D832" s="9"/>
      <c r="E832" s="9"/>
      <c r="F832" s="9"/>
      <c r="G832" s="12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spans="1:32" ht="15.75">
      <c r="A833" s="9"/>
      <c r="B833" s="10"/>
      <c r="C833" s="9"/>
      <c r="D833" s="9"/>
      <c r="E833" s="9"/>
      <c r="F833" s="9"/>
      <c r="G833" s="12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spans="1:32" ht="15.75">
      <c r="A834" s="9"/>
      <c r="B834" s="10"/>
      <c r="C834" s="9"/>
      <c r="D834" s="9"/>
      <c r="E834" s="9"/>
      <c r="F834" s="9"/>
      <c r="G834" s="12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spans="1:32" ht="15.75">
      <c r="A835" s="9"/>
      <c r="B835" s="10"/>
      <c r="C835" s="9"/>
      <c r="D835" s="9"/>
      <c r="E835" s="9"/>
      <c r="F835" s="9"/>
      <c r="G835" s="12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spans="1:32" ht="15.75">
      <c r="A836" s="9"/>
      <c r="B836" s="10"/>
      <c r="C836" s="9"/>
      <c r="D836" s="9"/>
      <c r="E836" s="9"/>
      <c r="F836" s="9"/>
      <c r="G836" s="12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spans="1:32" ht="15.75">
      <c r="A837" s="9"/>
      <c r="B837" s="10"/>
      <c r="C837" s="9"/>
      <c r="D837" s="9"/>
      <c r="E837" s="9"/>
      <c r="F837" s="9"/>
      <c r="G837" s="12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spans="1:32" ht="15.75">
      <c r="A838" s="9"/>
      <c r="B838" s="10"/>
      <c r="C838" s="9"/>
      <c r="D838" s="9"/>
      <c r="E838" s="9"/>
      <c r="F838" s="9"/>
      <c r="G838" s="12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spans="1:32" ht="15.75">
      <c r="A839" s="9"/>
      <c r="B839" s="10"/>
      <c r="C839" s="9"/>
      <c r="D839" s="9"/>
      <c r="E839" s="9"/>
      <c r="F839" s="9"/>
      <c r="G839" s="12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spans="1:32" ht="15.75">
      <c r="A840" s="9"/>
      <c r="B840" s="10"/>
      <c r="C840" s="9"/>
      <c r="D840" s="9"/>
      <c r="E840" s="9"/>
      <c r="F840" s="9"/>
      <c r="G840" s="12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spans="1:32" ht="15.75">
      <c r="A841" s="9"/>
      <c r="B841" s="10"/>
      <c r="C841" s="9"/>
      <c r="D841" s="9"/>
      <c r="E841" s="9"/>
      <c r="F841" s="9"/>
      <c r="G841" s="12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spans="1:32" ht="15.75">
      <c r="A842" s="9"/>
      <c r="B842" s="10"/>
      <c r="C842" s="9"/>
      <c r="D842" s="9"/>
      <c r="E842" s="9"/>
      <c r="F842" s="9"/>
      <c r="G842" s="12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spans="1:32" ht="15.75">
      <c r="A843" s="9"/>
      <c r="B843" s="10"/>
      <c r="C843" s="9"/>
      <c r="D843" s="9"/>
      <c r="E843" s="9"/>
      <c r="F843" s="9"/>
      <c r="G843" s="12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spans="1:32" ht="15.75">
      <c r="A844" s="9"/>
      <c r="B844" s="10"/>
      <c r="C844" s="9"/>
      <c r="D844" s="9"/>
      <c r="E844" s="9"/>
      <c r="F844" s="9"/>
      <c r="G844" s="12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spans="1:32" ht="15.75">
      <c r="A845" s="9"/>
      <c r="B845" s="10"/>
      <c r="C845" s="9"/>
      <c r="D845" s="9"/>
      <c r="E845" s="9"/>
      <c r="F845" s="9"/>
      <c r="G845" s="12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spans="1:32" ht="15.75">
      <c r="A846" s="9"/>
      <c r="B846" s="10"/>
      <c r="C846" s="9"/>
      <c r="D846" s="9"/>
      <c r="E846" s="9"/>
      <c r="F846" s="9"/>
      <c r="G846" s="12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spans="1:32" ht="15.75">
      <c r="A847" s="9"/>
      <c r="B847" s="10"/>
      <c r="C847" s="9"/>
      <c r="D847" s="9"/>
      <c r="E847" s="9"/>
      <c r="F847" s="9"/>
      <c r="G847" s="12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spans="1:32" ht="15.75">
      <c r="A848" s="9"/>
      <c r="B848" s="10"/>
      <c r="C848" s="9"/>
      <c r="D848" s="9"/>
      <c r="E848" s="9"/>
      <c r="F848" s="9"/>
      <c r="G848" s="12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spans="1:32" ht="15.75">
      <c r="A849" s="9"/>
      <c r="B849" s="10"/>
      <c r="C849" s="9"/>
      <c r="D849" s="9"/>
      <c r="E849" s="9"/>
      <c r="F849" s="9"/>
      <c r="G849" s="12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spans="1:32" ht="15.75">
      <c r="A850" s="9"/>
      <c r="B850" s="10"/>
      <c r="C850" s="9"/>
      <c r="D850" s="9"/>
      <c r="E850" s="9"/>
      <c r="F850" s="9"/>
      <c r="G850" s="12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spans="1:32" ht="15.75">
      <c r="A851" s="9"/>
      <c r="B851" s="10"/>
      <c r="C851" s="9"/>
      <c r="D851" s="9"/>
      <c r="E851" s="9"/>
      <c r="F851" s="9"/>
      <c r="G851" s="12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spans="1:32" ht="15.75">
      <c r="A852" s="9"/>
      <c r="B852" s="10"/>
      <c r="C852" s="9"/>
      <c r="D852" s="9"/>
      <c r="E852" s="9"/>
      <c r="F852" s="9"/>
      <c r="G852" s="12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spans="1:32" ht="15.75">
      <c r="A853" s="9"/>
      <c r="B853" s="10"/>
      <c r="C853" s="9"/>
      <c r="D853" s="9"/>
      <c r="E853" s="9"/>
      <c r="F853" s="9"/>
      <c r="G853" s="12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spans="1:32" ht="15.75">
      <c r="A854" s="9"/>
      <c r="B854" s="10"/>
      <c r="C854" s="9"/>
      <c r="D854" s="9"/>
      <c r="E854" s="9"/>
      <c r="F854" s="9"/>
      <c r="G854" s="12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spans="1:32" ht="15.75">
      <c r="A855" s="9"/>
      <c r="B855" s="10"/>
      <c r="C855" s="9"/>
      <c r="D855" s="9"/>
      <c r="E855" s="9"/>
      <c r="F855" s="9"/>
      <c r="G855" s="12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spans="1:32" ht="15.75">
      <c r="A856" s="9"/>
      <c r="B856" s="10"/>
      <c r="C856" s="9"/>
      <c r="D856" s="9"/>
      <c r="E856" s="9"/>
      <c r="F856" s="9"/>
      <c r="G856" s="12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spans="1:32" ht="15.75">
      <c r="A857" s="9"/>
      <c r="B857" s="10"/>
      <c r="C857" s="9"/>
      <c r="D857" s="9"/>
      <c r="E857" s="9"/>
      <c r="F857" s="9"/>
      <c r="G857" s="12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spans="1:32" ht="15.75">
      <c r="A858" s="9"/>
      <c r="B858" s="10"/>
      <c r="C858" s="9"/>
      <c r="D858" s="9"/>
      <c r="E858" s="9"/>
      <c r="F858" s="9"/>
      <c r="G858" s="12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spans="1:32" ht="15.75">
      <c r="A859" s="9"/>
      <c r="B859" s="10"/>
      <c r="C859" s="9"/>
      <c r="D859" s="9"/>
      <c r="E859" s="9"/>
      <c r="F859" s="9"/>
      <c r="G859" s="12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spans="1:32" ht="15.75">
      <c r="A860" s="9"/>
      <c r="B860" s="10"/>
      <c r="C860" s="9"/>
      <c r="D860" s="9"/>
      <c r="E860" s="9"/>
      <c r="F860" s="9"/>
      <c r="G860" s="12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spans="1:32" ht="15.75">
      <c r="A861" s="9"/>
      <c r="B861" s="10"/>
      <c r="C861" s="9"/>
      <c r="D861" s="9"/>
      <c r="E861" s="9"/>
      <c r="F861" s="9"/>
      <c r="G861" s="12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spans="1:32" ht="15.75">
      <c r="A862" s="9"/>
      <c r="B862" s="10"/>
      <c r="C862" s="9"/>
      <c r="D862" s="9"/>
      <c r="E862" s="9"/>
      <c r="F862" s="9"/>
      <c r="G862" s="12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spans="1:32" ht="15.75">
      <c r="A863" s="9"/>
      <c r="B863" s="10"/>
      <c r="C863" s="9"/>
      <c r="D863" s="9"/>
      <c r="E863" s="9"/>
      <c r="F863" s="9"/>
      <c r="G863" s="12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spans="1:32" ht="15.75">
      <c r="A864" s="9"/>
      <c r="B864" s="10"/>
      <c r="C864" s="9"/>
      <c r="D864" s="9"/>
      <c r="E864" s="9"/>
      <c r="F864" s="9"/>
      <c r="G864" s="12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spans="1:32" ht="15.75">
      <c r="A865" s="9"/>
      <c r="B865" s="10"/>
      <c r="C865" s="9"/>
      <c r="D865" s="9"/>
      <c r="E865" s="9"/>
      <c r="F865" s="9"/>
      <c r="G865" s="12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spans="1:32" ht="15.75">
      <c r="A866" s="9"/>
      <c r="B866" s="10"/>
      <c r="C866" s="9"/>
      <c r="D866" s="9"/>
      <c r="E866" s="9"/>
      <c r="F866" s="9"/>
      <c r="G866" s="12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spans="1:32" ht="15.75">
      <c r="A867" s="9"/>
      <c r="B867" s="10"/>
      <c r="C867" s="9"/>
      <c r="D867" s="9"/>
      <c r="E867" s="9"/>
      <c r="F867" s="9"/>
      <c r="G867" s="12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spans="1:32" ht="15.75">
      <c r="A868" s="9"/>
      <c r="B868" s="10"/>
      <c r="C868" s="9"/>
      <c r="D868" s="9"/>
      <c r="E868" s="9"/>
      <c r="F868" s="9"/>
      <c r="G868" s="12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spans="1:32" ht="15.75">
      <c r="A869" s="9"/>
      <c r="B869" s="10"/>
      <c r="C869" s="9"/>
      <c r="D869" s="9"/>
      <c r="E869" s="9"/>
      <c r="F869" s="9"/>
      <c r="G869" s="12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spans="1:32" ht="15.75">
      <c r="A870" s="9"/>
      <c r="B870" s="10"/>
      <c r="C870" s="9"/>
      <c r="D870" s="9"/>
      <c r="E870" s="9"/>
      <c r="F870" s="9"/>
      <c r="G870" s="12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spans="1:32" ht="15.75">
      <c r="A871" s="9"/>
      <c r="B871" s="10"/>
      <c r="C871" s="9"/>
      <c r="D871" s="9"/>
      <c r="E871" s="9"/>
      <c r="F871" s="9"/>
      <c r="G871" s="12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spans="1:32" ht="15.75">
      <c r="A872" s="9"/>
      <c r="B872" s="10"/>
      <c r="C872" s="9"/>
      <c r="D872" s="9"/>
      <c r="E872" s="9"/>
      <c r="F872" s="9"/>
      <c r="G872" s="12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spans="1:32" ht="15.75">
      <c r="A873" s="9"/>
      <c r="B873" s="10"/>
      <c r="C873" s="9"/>
      <c r="D873" s="9"/>
      <c r="E873" s="9"/>
      <c r="F873" s="9"/>
      <c r="G873" s="12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spans="1:32" ht="15.75">
      <c r="A874" s="9"/>
      <c r="B874" s="10"/>
      <c r="C874" s="9"/>
      <c r="D874" s="9"/>
      <c r="E874" s="9"/>
      <c r="F874" s="9"/>
      <c r="G874" s="12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spans="1:32" ht="15.75">
      <c r="A875" s="9"/>
      <c r="B875" s="10"/>
      <c r="C875" s="9"/>
      <c r="D875" s="9"/>
      <c r="E875" s="9"/>
      <c r="F875" s="9"/>
      <c r="G875" s="12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spans="1:32" ht="15.75">
      <c r="A876" s="9"/>
      <c r="B876" s="10"/>
      <c r="C876" s="9"/>
      <c r="D876" s="9"/>
      <c r="E876" s="9"/>
      <c r="F876" s="9"/>
      <c r="G876" s="12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spans="1:32" ht="15.75">
      <c r="A877" s="9"/>
      <c r="B877" s="10"/>
      <c r="C877" s="9"/>
      <c r="D877" s="9"/>
      <c r="E877" s="9"/>
      <c r="F877" s="9"/>
      <c r="G877" s="12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spans="1:32" ht="15.75">
      <c r="A878" s="9"/>
      <c r="B878" s="10"/>
      <c r="C878" s="9"/>
      <c r="D878" s="9"/>
      <c r="E878" s="9"/>
      <c r="F878" s="9"/>
      <c r="G878" s="12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spans="1:32" ht="15.75">
      <c r="A879" s="9"/>
      <c r="B879" s="10"/>
      <c r="C879" s="9"/>
      <c r="D879" s="9"/>
      <c r="E879" s="9"/>
      <c r="F879" s="9"/>
      <c r="G879" s="12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spans="1:32" ht="15.75">
      <c r="A880" s="9"/>
      <c r="B880" s="10"/>
      <c r="C880" s="9"/>
      <c r="D880" s="9"/>
      <c r="E880" s="9"/>
      <c r="F880" s="9"/>
      <c r="G880" s="12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spans="1:32" ht="15.75">
      <c r="A881" s="9"/>
      <c r="B881" s="10"/>
      <c r="C881" s="9"/>
      <c r="D881" s="9"/>
      <c r="E881" s="9"/>
      <c r="F881" s="9"/>
      <c r="G881" s="12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spans="1:32" ht="15.75">
      <c r="A882" s="9"/>
      <c r="B882" s="10"/>
      <c r="C882" s="9"/>
      <c r="D882" s="9"/>
      <c r="E882" s="9"/>
      <c r="F882" s="9"/>
      <c r="G882" s="12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spans="1:32" ht="15.75">
      <c r="A883" s="9"/>
      <c r="B883" s="10"/>
      <c r="C883" s="9"/>
      <c r="D883" s="9"/>
      <c r="E883" s="9"/>
      <c r="F883" s="9"/>
      <c r="G883" s="12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spans="1:32" ht="15.75">
      <c r="A884" s="9"/>
      <c r="B884" s="10"/>
      <c r="C884" s="9"/>
      <c r="D884" s="9"/>
      <c r="E884" s="9"/>
      <c r="F884" s="9"/>
      <c r="G884" s="12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spans="1:32" ht="15.75">
      <c r="A885" s="9"/>
      <c r="B885" s="10"/>
      <c r="C885" s="9"/>
      <c r="D885" s="9"/>
      <c r="E885" s="9"/>
      <c r="F885" s="9"/>
      <c r="G885" s="12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spans="1:32" ht="15.75">
      <c r="A886" s="9"/>
      <c r="B886" s="10"/>
      <c r="C886" s="9"/>
      <c r="D886" s="9"/>
      <c r="E886" s="9"/>
      <c r="F886" s="9"/>
      <c r="G886" s="12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spans="1:32" ht="15.75">
      <c r="A887" s="9"/>
      <c r="B887" s="10"/>
      <c r="C887" s="9"/>
      <c r="D887" s="9"/>
      <c r="E887" s="9"/>
      <c r="F887" s="9"/>
      <c r="G887" s="12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spans="1:32" ht="15.75">
      <c r="A888" s="9"/>
      <c r="B888" s="10"/>
      <c r="C888" s="9"/>
      <c r="D888" s="9"/>
      <c r="E888" s="9"/>
      <c r="F888" s="9"/>
      <c r="G888" s="12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spans="1:32" ht="15.75">
      <c r="A889" s="9"/>
      <c r="B889" s="10"/>
      <c r="C889" s="9"/>
      <c r="D889" s="9"/>
      <c r="E889" s="9"/>
      <c r="F889" s="9"/>
      <c r="G889" s="12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spans="1:32" ht="15.75">
      <c r="A890" s="9"/>
      <c r="B890" s="10"/>
      <c r="C890" s="9"/>
      <c r="D890" s="9"/>
      <c r="E890" s="9"/>
      <c r="F890" s="9"/>
      <c r="G890" s="12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spans="1:32" ht="15.75">
      <c r="A891" s="9"/>
      <c r="B891" s="10"/>
      <c r="C891" s="9"/>
      <c r="D891" s="9"/>
      <c r="E891" s="9"/>
      <c r="F891" s="9"/>
      <c r="G891" s="12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spans="1:32" ht="15.75">
      <c r="A892" s="9"/>
      <c r="B892" s="10"/>
      <c r="C892" s="9"/>
      <c r="D892" s="9"/>
      <c r="E892" s="9"/>
      <c r="F892" s="9"/>
      <c r="G892" s="12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spans="1:32" ht="15.75">
      <c r="A893" s="9"/>
      <c r="B893" s="10"/>
      <c r="C893" s="9"/>
      <c r="D893" s="9"/>
      <c r="E893" s="9"/>
      <c r="F893" s="9"/>
      <c r="G893" s="12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spans="1:32" ht="15.75">
      <c r="A894" s="9"/>
      <c r="B894" s="10"/>
      <c r="C894" s="9"/>
      <c r="D894" s="9"/>
      <c r="E894" s="9"/>
      <c r="F894" s="9"/>
      <c r="G894" s="12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spans="1:32" ht="15.75">
      <c r="A895" s="9"/>
      <c r="B895" s="10"/>
      <c r="C895" s="9"/>
      <c r="D895" s="9"/>
      <c r="E895" s="9"/>
      <c r="F895" s="9"/>
      <c r="G895" s="12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spans="1:32" ht="15.75">
      <c r="A896" s="9"/>
      <c r="B896" s="10"/>
      <c r="C896" s="9"/>
      <c r="D896" s="9"/>
      <c r="E896" s="9"/>
      <c r="F896" s="9"/>
      <c r="G896" s="12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spans="1:32" ht="15.75">
      <c r="A897" s="9"/>
      <c r="B897" s="10"/>
      <c r="C897" s="9"/>
      <c r="D897" s="9"/>
      <c r="E897" s="9"/>
      <c r="F897" s="9"/>
      <c r="G897" s="12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spans="1:32" ht="15.75">
      <c r="A898" s="9"/>
      <c r="B898" s="10"/>
      <c r="C898" s="9"/>
      <c r="D898" s="9"/>
      <c r="E898" s="9"/>
      <c r="F898" s="9"/>
      <c r="G898" s="12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spans="1:32" ht="15.75">
      <c r="A899" s="9"/>
      <c r="B899" s="10"/>
      <c r="C899" s="9"/>
      <c r="D899" s="9"/>
      <c r="E899" s="9"/>
      <c r="F899" s="9"/>
      <c r="G899" s="12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spans="1:32" ht="15.75">
      <c r="A900" s="9"/>
      <c r="B900" s="10"/>
      <c r="C900" s="9"/>
      <c r="D900" s="9"/>
      <c r="E900" s="9"/>
      <c r="F900" s="9"/>
      <c r="G900" s="12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spans="1:32" ht="15.75">
      <c r="A901" s="9"/>
      <c r="B901" s="10"/>
      <c r="C901" s="9"/>
      <c r="D901" s="9"/>
      <c r="E901" s="9"/>
      <c r="F901" s="9"/>
      <c r="G901" s="12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spans="1:32" ht="15.75">
      <c r="A902" s="9"/>
      <c r="B902" s="10"/>
      <c r="C902" s="9"/>
      <c r="D902" s="9"/>
      <c r="E902" s="9"/>
      <c r="F902" s="9"/>
      <c r="G902" s="12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spans="1:32" ht="15.75">
      <c r="A903" s="9"/>
      <c r="B903" s="10"/>
      <c r="C903" s="9"/>
      <c r="D903" s="9"/>
      <c r="E903" s="9"/>
      <c r="F903" s="9"/>
      <c r="G903" s="12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spans="1:32" ht="15.75">
      <c r="A904" s="9"/>
      <c r="B904" s="10"/>
      <c r="C904" s="9"/>
      <c r="D904" s="9"/>
      <c r="E904" s="9"/>
      <c r="F904" s="9"/>
      <c r="G904" s="12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spans="1:32" ht="15.75">
      <c r="A905" s="9"/>
      <c r="B905" s="10"/>
      <c r="C905" s="9"/>
      <c r="D905" s="9"/>
      <c r="E905" s="9"/>
      <c r="F905" s="9"/>
      <c r="G905" s="12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spans="1:32" ht="15.75">
      <c r="A906" s="9"/>
      <c r="B906" s="10"/>
      <c r="C906" s="9"/>
      <c r="D906" s="9"/>
      <c r="E906" s="9"/>
      <c r="F906" s="9"/>
      <c r="G906" s="12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spans="1:32" ht="15.75">
      <c r="A907" s="9"/>
      <c r="B907" s="10"/>
      <c r="C907" s="9"/>
      <c r="D907" s="9"/>
      <c r="E907" s="9"/>
      <c r="F907" s="9"/>
      <c r="G907" s="12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spans="1:32" ht="15.75">
      <c r="A908" s="9"/>
      <c r="B908" s="10"/>
      <c r="C908" s="9"/>
      <c r="D908" s="9"/>
      <c r="E908" s="9"/>
      <c r="F908" s="9"/>
      <c r="G908" s="12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spans="1:32" ht="15.75">
      <c r="A909" s="9"/>
      <c r="B909" s="10"/>
      <c r="C909" s="9"/>
      <c r="D909" s="9"/>
      <c r="E909" s="9"/>
      <c r="F909" s="9"/>
      <c r="G909" s="12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spans="1:32" ht="15.75">
      <c r="A910" s="9"/>
      <c r="B910" s="10"/>
      <c r="C910" s="9"/>
      <c r="D910" s="9"/>
      <c r="E910" s="9"/>
      <c r="F910" s="9"/>
      <c r="G910" s="12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spans="1:32" ht="15.75">
      <c r="A911" s="9"/>
      <c r="B911" s="10"/>
      <c r="C911" s="9"/>
      <c r="D911" s="9"/>
      <c r="E911" s="9"/>
      <c r="F911" s="9"/>
      <c r="G911" s="12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spans="1:32" ht="15.75">
      <c r="A912" s="9"/>
      <c r="B912" s="10"/>
      <c r="C912" s="9"/>
      <c r="D912" s="9"/>
      <c r="E912" s="9"/>
      <c r="F912" s="9"/>
      <c r="G912" s="12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spans="1:32" ht="15.75">
      <c r="A913" s="9"/>
      <c r="B913" s="10"/>
      <c r="C913" s="9"/>
      <c r="D913" s="9"/>
      <c r="E913" s="9"/>
      <c r="F913" s="9"/>
      <c r="G913" s="12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spans="1:32" ht="15.75">
      <c r="A914" s="9"/>
      <c r="B914" s="10"/>
      <c r="C914" s="9"/>
      <c r="D914" s="9"/>
      <c r="E914" s="9"/>
      <c r="F914" s="9"/>
      <c r="G914" s="12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spans="1:32" ht="15.75">
      <c r="A915" s="9"/>
      <c r="B915" s="10"/>
      <c r="C915" s="9"/>
      <c r="D915" s="9"/>
      <c r="E915" s="9"/>
      <c r="F915" s="9"/>
      <c r="G915" s="12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spans="1:32" ht="15.75">
      <c r="A916" s="9"/>
      <c r="B916" s="10"/>
      <c r="C916" s="9"/>
      <c r="D916" s="9"/>
      <c r="E916" s="9"/>
      <c r="F916" s="9"/>
      <c r="G916" s="12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spans="1:32" ht="15.75">
      <c r="A917" s="9"/>
      <c r="B917" s="10"/>
      <c r="C917" s="9"/>
      <c r="D917" s="9"/>
      <c r="E917" s="9"/>
      <c r="F917" s="9"/>
      <c r="G917" s="12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spans="1:32" ht="15.75">
      <c r="A918" s="9"/>
      <c r="B918" s="10"/>
      <c r="C918" s="9"/>
      <c r="D918" s="9"/>
      <c r="E918" s="9"/>
      <c r="F918" s="9"/>
      <c r="G918" s="12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spans="1:32" ht="15.75">
      <c r="A919" s="9"/>
      <c r="B919" s="10"/>
      <c r="C919" s="9"/>
      <c r="D919" s="9"/>
      <c r="E919" s="9"/>
      <c r="F919" s="9"/>
      <c r="G919" s="12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spans="1:32" ht="15.75">
      <c r="A920" s="9"/>
      <c r="B920" s="10"/>
      <c r="C920" s="9"/>
      <c r="D920" s="9"/>
      <c r="E920" s="9"/>
      <c r="F920" s="9"/>
      <c r="G920" s="12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spans="1:32" ht="15.75">
      <c r="A921" s="9"/>
      <c r="B921" s="10"/>
      <c r="C921" s="9"/>
      <c r="D921" s="9"/>
      <c r="E921" s="9"/>
      <c r="F921" s="9"/>
      <c r="G921" s="12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spans="1:32" ht="15.75">
      <c r="A922" s="9"/>
      <c r="B922" s="10"/>
      <c r="C922" s="9"/>
      <c r="D922" s="9"/>
      <c r="E922" s="9"/>
      <c r="F922" s="9"/>
      <c r="G922" s="12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spans="1:32" ht="15.75">
      <c r="A923" s="9"/>
      <c r="B923" s="10"/>
      <c r="C923" s="9"/>
      <c r="D923" s="9"/>
      <c r="E923" s="9"/>
      <c r="F923" s="9"/>
      <c r="G923" s="12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spans="1:32" ht="15.75">
      <c r="A924" s="9"/>
      <c r="B924" s="10"/>
      <c r="C924" s="9"/>
      <c r="D924" s="9"/>
      <c r="E924" s="9"/>
      <c r="F924" s="9"/>
      <c r="G924" s="12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spans="1:32" ht="15.75">
      <c r="A925" s="9"/>
      <c r="B925" s="10"/>
      <c r="C925" s="9"/>
      <c r="D925" s="9"/>
      <c r="E925" s="9"/>
      <c r="F925" s="9"/>
      <c r="G925" s="12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spans="1:32" ht="15.75">
      <c r="A926" s="9"/>
      <c r="B926" s="10"/>
      <c r="C926" s="9"/>
      <c r="D926" s="9"/>
      <c r="E926" s="9"/>
      <c r="F926" s="9"/>
      <c r="G926" s="12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spans="1:32" ht="15.75">
      <c r="A927" s="9"/>
      <c r="B927" s="10"/>
      <c r="C927" s="9"/>
      <c r="D927" s="9"/>
      <c r="E927" s="9"/>
      <c r="F927" s="9"/>
      <c r="G927" s="12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spans="1:32" ht="15.75">
      <c r="A928" s="9"/>
      <c r="B928" s="10"/>
      <c r="C928" s="9"/>
      <c r="D928" s="9"/>
      <c r="E928" s="9"/>
      <c r="F928" s="9"/>
      <c r="G928" s="12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spans="1:32" ht="15.75">
      <c r="A929" s="9"/>
      <c r="B929" s="10"/>
      <c r="C929" s="9"/>
      <c r="D929" s="9"/>
      <c r="E929" s="9"/>
      <c r="F929" s="9"/>
      <c r="G929" s="12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spans="1:32" ht="15.75">
      <c r="A930" s="9"/>
      <c r="B930" s="10"/>
      <c r="C930" s="9"/>
      <c r="D930" s="9"/>
      <c r="E930" s="9"/>
      <c r="F930" s="9"/>
      <c r="G930" s="12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spans="1:32" ht="15.75">
      <c r="A931" s="9"/>
      <c r="B931" s="10"/>
      <c r="C931" s="9"/>
      <c r="D931" s="9"/>
      <c r="E931" s="9"/>
      <c r="F931" s="9"/>
      <c r="G931" s="12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spans="1:32" ht="15.75">
      <c r="A932" s="9"/>
      <c r="B932" s="10"/>
      <c r="C932" s="9"/>
      <c r="D932" s="9"/>
      <c r="E932" s="9"/>
      <c r="F932" s="9"/>
      <c r="G932" s="12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spans="1:32" ht="15.75">
      <c r="A933" s="9"/>
      <c r="B933" s="10"/>
      <c r="C933" s="9"/>
      <c r="D933" s="9"/>
      <c r="E933" s="9"/>
      <c r="F933" s="9"/>
      <c r="G933" s="12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spans="1:32" ht="15.75">
      <c r="A934" s="9"/>
      <c r="B934" s="10"/>
      <c r="C934" s="9"/>
      <c r="D934" s="9"/>
      <c r="E934" s="9"/>
      <c r="F934" s="9"/>
      <c r="G934" s="12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spans="1:32" ht="15.75">
      <c r="A935" s="9"/>
      <c r="B935" s="10"/>
      <c r="C935" s="9"/>
      <c r="D935" s="9"/>
      <c r="E935" s="9"/>
      <c r="F935" s="9"/>
      <c r="G935" s="12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spans="1:32" ht="15.75">
      <c r="A936" s="9"/>
      <c r="B936" s="10"/>
      <c r="C936" s="9"/>
      <c r="D936" s="9"/>
      <c r="E936" s="9"/>
      <c r="F936" s="9"/>
      <c r="G936" s="12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spans="1:32" ht="15.75">
      <c r="A937" s="9"/>
      <c r="B937" s="10"/>
      <c r="C937" s="9"/>
      <c r="D937" s="9"/>
      <c r="E937" s="9"/>
      <c r="F937" s="9"/>
      <c r="G937" s="12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spans="1:32" ht="15.75">
      <c r="A938" s="9"/>
      <c r="B938" s="10"/>
      <c r="C938" s="9"/>
      <c r="D938" s="9"/>
      <c r="E938" s="9"/>
      <c r="F938" s="9"/>
      <c r="G938" s="12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spans="1:32" ht="15.75">
      <c r="A939" s="9"/>
      <c r="B939" s="10"/>
      <c r="C939" s="9"/>
      <c r="D939" s="9"/>
      <c r="E939" s="9"/>
      <c r="F939" s="9"/>
      <c r="G939" s="12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spans="1:32" ht="15.75">
      <c r="A940" s="9"/>
      <c r="B940" s="10"/>
      <c r="C940" s="9"/>
      <c r="D940" s="9"/>
      <c r="E940" s="9"/>
      <c r="F940" s="9"/>
      <c r="G940" s="12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spans="1:32" ht="15.75">
      <c r="A941" s="9"/>
      <c r="B941" s="10"/>
      <c r="C941" s="9"/>
      <c r="D941" s="9"/>
      <c r="E941" s="9"/>
      <c r="F941" s="9"/>
      <c r="G941" s="12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spans="1:32" ht="15.75">
      <c r="A942" s="9"/>
      <c r="B942" s="10"/>
      <c r="C942" s="9"/>
      <c r="D942" s="9"/>
      <c r="E942" s="9"/>
      <c r="F942" s="9"/>
      <c r="G942" s="12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spans="1:32" ht="15.75">
      <c r="A943" s="9"/>
      <c r="B943" s="10"/>
      <c r="C943" s="9"/>
      <c r="D943" s="9"/>
      <c r="E943" s="9"/>
      <c r="F943" s="9"/>
      <c r="G943" s="12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spans="1:32" ht="15.75">
      <c r="A944" s="9"/>
      <c r="B944" s="10"/>
      <c r="C944" s="9"/>
      <c r="D944" s="9"/>
      <c r="E944" s="9"/>
      <c r="F944" s="9"/>
      <c r="G944" s="12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spans="1:32" ht="15.75">
      <c r="A945" s="9"/>
      <c r="B945" s="10"/>
      <c r="C945" s="9"/>
      <c r="D945" s="9"/>
      <c r="E945" s="9"/>
      <c r="F945" s="9"/>
      <c r="G945" s="12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spans="1:32" ht="15.75">
      <c r="A946" s="9"/>
      <c r="B946" s="10"/>
      <c r="C946" s="9"/>
      <c r="D946" s="9"/>
      <c r="E946" s="9"/>
      <c r="F946" s="9"/>
      <c r="G946" s="12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spans="1:32" ht="15.75">
      <c r="A947" s="9"/>
      <c r="B947" s="10"/>
      <c r="C947" s="9"/>
      <c r="D947" s="9"/>
      <c r="E947" s="9"/>
      <c r="F947" s="9"/>
      <c r="G947" s="12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spans="1:32" ht="15.75">
      <c r="A948" s="9"/>
      <c r="B948" s="10"/>
      <c r="C948" s="9"/>
      <c r="D948" s="9"/>
      <c r="E948" s="9"/>
      <c r="F948" s="9"/>
      <c r="G948" s="12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spans="1:32" ht="15.75">
      <c r="A949" s="9"/>
      <c r="B949" s="10"/>
      <c r="C949" s="9"/>
      <c r="D949" s="9"/>
      <c r="E949" s="9"/>
      <c r="F949" s="9"/>
      <c r="G949" s="12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spans="1:32" ht="15.75">
      <c r="A950" s="9"/>
      <c r="B950" s="10"/>
      <c r="C950" s="9"/>
      <c r="D950" s="9"/>
      <c r="E950" s="9"/>
      <c r="F950" s="9"/>
      <c r="G950" s="12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spans="1:32" ht="15.75">
      <c r="A951" s="9"/>
      <c r="B951" s="10"/>
      <c r="C951" s="9"/>
      <c r="D951" s="9"/>
      <c r="E951" s="9"/>
      <c r="F951" s="9"/>
      <c r="G951" s="12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spans="1:32" ht="15.75">
      <c r="A952" s="9"/>
      <c r="B952" s="10"/>
      <c r="C952" s="9"/>
      <c r="D952" s="9"/>
      <c r="E952" s="9"/>
      <c r="F952" s="9"/>
      <c r="G952" s="12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spans="1:32" ht="15.75">
      <c r="A953" s="9"/>
      <c r="B953" s="10"/>
      <c r="C953" s="9"/>
      <c r="D953" s="9"/>
      <c r="E953" s="9"/>
      <c r="F953" s="9"/>
      <c r="G953" s="12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spans="1:32" ht="15.75">
      <c r="A954" s="9"/>
      <c r="B954" s="10"/>
      <c r="C954" s="9"/>
      <c r="D954" s="9"/>
      <c r="E954" s="9"/>
      <c r="F954" s="9"/>
      <c r="G954" s="12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spans="1:32" ht="15.75">
      <c r="A955" s="9"/>
      <c r="B955" s="10"/>
      <c r="C955" s="9"/>
      <c r="D955" s="9"/>
      <c r="E955" s="9"/>
      <c r="F955" s="9"/>
      <c r="G955" s="12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spans="1:32" ht="15.75">
      <c r="A956" s="9"/>
      <c r="B956" s="10"/>
      <c r="C956" s="9"/>
      <c r="D956" s="9"/>
      <c r="E956" s="9"/>
      <c r="F956" s="9"/>
      <c r="G956" s="12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spans="1:32" ht="15.75">
      <c r="A957" s="9"/>
      <c r="B957" s="10"/>
      <c r="C957" s="9"/>
      <c r="D957" s="9"/>
      <c r="E957" s="9"/>
      <c r="F957" s="9"/>
      <c r="G957" s="12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spans="1:32" ht="15.75">
      <c r="A958" s="9"/>
      <c r="B958" s="10"/>
      <c r="C958" s="9"/>
      <c r="D958" s="9"/>
      <c r="E958" s="9"/>
      <c r="F958" s="9"/>
      <c r="G958" s="12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spans="1:32" ht="15.75">
      <c r="A959" s="9"/>
      <c r="B959" s="10"/>
      <c r="C959" s="9"/>
      <c r="D959" s="9"/>
      <c r="E959" s="9"/>
      <c r="F959" s="9"/>
      <c r="G959" s="12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spans="1:32" ht="15.75">
      <c r="A960" s="9"/>
      <c r="B960" s="10"/>
      <c r="C960" s="9"/>
      <c r="D960" s="9"/>
      <c r="E960" s="9"/>
      <c r="F960" s="9"/>
      <c r="G960" s="12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spans="1:32" ht="15.75">
      <c r="A961" s="9"/>
      <c r="B961" s="10"/>
      <c r="C961" s="9"/>
      <c r="D961" s="9"/>
      <c r="E961" s="9"/>
      <c r="F961" s="9"/>
      <c r="G961" s="12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spans="1:32" ht="15.75">
      <c r="A962" s="9"/>
      <c r="B962" s="10"/>
      <c r="C962" s="9"/>
      <c r="D962" s="9"/>
      <c r="E962" s="9"/>
      <c r="F962" s="9"/>
      <c r="G962" s="12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spans="1:32" ht="15.75">
      <c r="A963" s="9"/>
      <c r="B963" s="10"/>
      <c r="C963" s="9"/>
      <c r="D963" s="9"/>
      <c r="E963" s="9"/>
      <c r="F963" s="9"/>
      <c r="G963" s="12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spans="1:32" ht="15.75">
      <c r="A964" s="9"/>
      <c r="B964" s="10"/>
      <c r="C964" s="9"/>
      <c r="D964" s="9"/>
      <c r="E964" s="9"/>
      <c r="F964" s="9"/>
      <c r="G964" s="12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spans="1:32" ht="15.75">
      <c r="A965" s="9"/>
      <c r="B965" s="10"/>
      <c r="C965" s="9"/>
      <c r="D965" s="9"/>
      <c r="E965" s="9"/>
      <c r="F965" s="9"/>
      <c r="G965" s="12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spans="1:32" ht="15.75">
      <c r="A966" s="9"/>
      <c r="B966" s="10"/>
      <c r="C966" s="9"/>
      <c r="D966" s="9"/>
      <c r="E966" s="9"/>
      <c r="F966" s="9"/>
      <c r="G966" s="12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spans="1:32" ht="15.75">
      <c r="A967" s="9"/>
      <c r="B967" s="10"/>
      <c r="C967" s="9"/>
      <c r="D967" s="9"/>
      <c r="E967" s="9"/>
      <c r="F967" s="9"/>
      <c r="G967" s="12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spans="1:32" ht="15.75">
      <c r="A968" s="9"/>
      <c r="B968" s="10"/>
      <c r="C968" s="9"/>
      <c r="D968" s="9"/>
      <c r="E968" s="9"/>
      <c r="F968" s="9"/>
      <c r="G968" s="12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spans="1:32" ht="15.75">
      <c r="A969" s="9"/>
      <c r="B969" s="10"/>
      <c r="C969" s="9"/>
      <c r="D969" s="9"/>
      <c r="E969" s="9"/>
      <c r="F969" s="9"/>
      <c r="G969" s="12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spans="1:32" ht="15.75">
      <c r="A970" s="9"/>
      <c r="B970" s="10"/>
      <c r="C970" s="9"/>
      <c r="D970" s="9"/>
      <c r="E970" s="9"/>
      <c r="F970" s="9"/>
      <c r="G970" s="12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spans="1:32" ht="15.75">
      <c r="A971" s="9"/>
      <c r="B971" s="10"/>
      <c r="C971" s="9"/>
      <c r="D971" s="9"/>
      <c r="E971" s="9"/>
      <c r="F971" s="9"/>
      <c r="G971" s="12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spans="1:32" ht="15.75">
      <c r="A972" s="9"/>
      <c r="B972" s="10"/>
      <c r="C972" s="9"/>
      <c r="D972" s="9"/>
      <c r="E972" s="9"/>
      <c r="F972" s="9"/>
      <c r="G972" s="12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spans="1:32" ht="15.75">
      <c r="A973" s="9"/>
      <c r="B973" s="10"/>
      <c r="C973" s="9"/>
      <c r="D973" s="9"/>
      <c r="E973" s="9"/>
      <c r="F973" s="9"/>
      <c r="G973" s="12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spans="1:32" ht="15.75">
      <c r="A974" s="9"/>
      <c r="B974" s="10"/>
      <c r="C974" s="9"/>
      <c r="D974" s="9"/>
      <c r="E974" s="9"/>
      <c r="F974" s="9"/>
      <c r="G974" s="12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spans="1:32" ht="15.75">
      <c r="A975" s="9"/>
      <c r="B975" s="10"/>
      <c r="C975" s="9"/>
      <c r="D975" s="9"/>
      <c r="E975" s="9"/>
      <c r="F975" s="9"/>
      <c r="G975" s="12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spans="1:32" ht="15.75">
      <c r="A976" s="9"/>
      <c r="B976" s="10"/>
      <c r="C976" s="9"/>
      <c r="D976" s="9"/>
      <c r="E976" s="9"/>
      <c r="F976" s="9"/>
      <c r="G976" s="12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spans="1:32" ht="15.75">
      <c r="A977" s="9"/>
      <c r="B977" s="10"/>
      <c r="C977" s="9"/>
      <c r="D977" s="9"/>
      <c r="E977" s="9"/>
      <c r="F977" s="9"/>
      <c r="G977" s="12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spans="1:32" ht="15.75">
      <c r="A978" s="9"/>
      <c r="B978" s="10"/>
      <c r="C978" s="9"/>
      <c r="D978" s="9"/>
      <c r="E978" s="9"/>
      <c r="F978" s="9"/>
      <c r="G978" s="12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spans="1:32" ht="15.75">
      <c r="A979" s="9"/>
      <c r="B979" s="10"/>
      <c r="C979" s="9"/>
      <c r="D979" s="9"/>
      <c r="E979" s="9"/>
      <c r="F979" s="9"/>
      <c r="G979" s="12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spans="1:32" ht="15.75">
      <c r="A980" s="9"/>
      <c r="B980" s="10"/>
      <c r="C980" s="9"/>
      <c r="D980" s="9"/>
      <c r="E980" s="9"/>
      <c r="F980" s="9"/>
      <c r="G980" s="12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spans="1:32" ht="15.75">
      <c r="A981" s="9"/>
      <c r="B981" s="10"/>
      <c r="C981" s="9"/>
      <c r="D981" s="9"/>
      <c r="E981" s="9"/>
      <c r="F981" s="9"/>
      <c r="G981" s="12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spans="1:32" ht="15.75">
      <c r="A982" s="9"/>
      <c r="B982" s="10"/>
      <c r="C982" s="9"/>
      <c r="D982" s="9"/>
      <c r="E982" s="9"/>
      <c r="F982" s="9"/>
      <c r="G982" s="12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spans="1:32" ht="15.75">
      <c r="A983" s="9"/>
      <c r="B983" s="10"/>
      <c r="C983" s="9"/>
      <c r="D983" s="9"/>
      <c r="E983" s="9"/>
      <c r="F983" s="9"/>
      <c r="G983" s="12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spans="1:32" ht="15.75">
      <c r="A984" s="9"/>
      <c r="B984" s="10"/>
      <c r="C984" s="9"/>
      <c r="D984" s="9"/>
      <c r="E984" s="9"/>
      <c r="F984" s="9"/>
      <c r="G984" s="12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spans="1:32" ht="15.75">
      <c r="A985" s="9"/>
      <c r="B985" s="10"/>
      <c r="C985" s="9"/>
      <c r="D985" s="9"/>
      <c r="E985" s="9"/>
      <c r="F985" s="9"/>
      <c r="G985" s="12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spans="1:32" ht="15.75">
      <c r="A986" s="9"/>
      <c r="B986" s="10"/>
      <c r="C986" s="9"/>
      <c r="D986" s="9"/>
      <c r="E986" s="9"/>
      <c r="F986" s="9"/>
      <c r="G986" s="12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spans="1:32" ht="15.75">
      <c r="A987" s="9"/>
      <c r="B987" s="10"/>
      <c r="C987" s="9"/>
      <c r="D987" s="9"/>
      <c r="E987" s="9"/>
      <c r="F987" s="9"/>
      <c r="G987" s="12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spans="1:32" ht="15.75">
      <c r="A988" s="9"/>
      <c r="B988" s="10"/>
      <c r="C988" s="9"/>
      <c r="D988" s="9"/>
      <c r="E988" s="9"/>
      <c r="F988" s="9"/>
      <c r="G988" s="12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spans="1:32" ht="15.75">
      <c r="A989" s="9"/>
      <c r="B989" s="10"/>
      <c r="C989" s="9"/>
      <c r="D989" s="9"/>
      <c r="E989" s="9"/>
      <c r="F989" s="9"/>
      <c r="G989" s="12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spans="1:32" ht="15.75">
      <c r="A990" s="9"/>
      <c r="B990" s="10"/>
      <c r="C990" s="9"/>
      <c r="D990" s="9"/>
      <c r="E990" s="9"/>
      <c r="F990" s="9"/>
      <c r="G990" s="12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spans="1:32" ht="15.75">
      <c r="A991" s="9"/>
      <c r="B991" s="10"/>
      <c r="C991" s="9"/>
      <c r="D991" s="9"/>
      <c r="E991" s="9"/>
      <c r="F991" s="9"/>
      <c r="G991" s="12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spans="1:32" ht="15.75">
      <c r="A992" s="9"/>
      <c r="B992" s="10"/>
      <c r="C992" s="9"/>
      <c r="D992" s="9"/>
      <c r="E992" s="9"/>
      <c r="F992" s="9"/>
      <c r="G992" s="12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spans="1:32" ht="15.75">
      <c r="A993" s="9"/>
      <c r="B993" s="10"/>
      <c r="C993" s="9"/>
      <c r="D993" s="9"/>
      <c r="E993" s="9"/>
      <c r="F993" s="9"/>
      <c r="G993" s="12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spans="1:32" ht="15.75">
      <c r="A994" s="9"/>
      <c r="B994" s="10"/>
      <c r="C994" s="9"/>
      <c r="D994" s="9"/>
      <c r="E994" s="9"/>
      <c r="F994" s="9"/>
      <c r="G994" s="12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spans="1:32" ht="15.75">
      <c r="A995" s="9"/>
      <c r="B995" s="10"/>
      <c r="C995" s="9"/>
      <c r="D995" s="9"/>
      <c r="E995" s="9"/>
      <c r="F995" s="9"/>
      <c r="G995" s="12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spans="1:32" ht="15.75">
      <c r="A996" s="9"/>
      <c r="B996" s="10"/>
      <c r="C996" s="9"/>
      <c r="D996" s="9"/>
      <c r="E996" s="9"/>
      <c r="F996" s="9"/>
      <c r="G996" s="12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spans="1:32" ht="15.75">
      <c r="A997" s="9"/>
      <c r="B997" s="10"/>
      <c r="C997" s="9"/>
      <c r="D997" s="9"/>
      <c r="E997" s="9"/>
      <c r="F997" s="9"/>
      <c r="G997" s="12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spans="1:32" ht="15.75">
      <c r="A998" s="9"/>
      <c r="B998" s="10"/>
      <c r="C998" s="9"/>
      <c r="D998" s="9"/>
      <c r="E998" s="9"/>
      <c r="F998" s="9"/>
      <c r="G998" s="12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spans="1:32" ht="15.75">
      <c r="A999" s="9"/>
      <c r="B999" s="10"/>
      <c r="C999" s="9"/>
      <c r="D999" s="9"/>
      <c r="E999" s="9"/>
      <c r="F999" s="9"/>
      <c r="G999" s="12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 spans="1:32" ht="15.75">
      <c r="A1000" s="9"/>
      <c r="B1000" s="10"/>
      <c r="C1000" s="9"/>
      <c r="D1000" s="9"/>
      <c r="E1000" s="9"/>
      <c r="F1000" s="9"/>
      <c r="G1000" s="12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 spans="1:32" ht="15.75">
      <c r="A1001" s="9"/>
      <c r="B1001" s="10"/>
      <c r="C1001" s="9"/>
      <c r="D1001" s="9"/>
      <c r="E1001" s="9"/>
      <c r="F1001" s="9"/>
      <c r="G1001" s="12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  <row r="1002" spans="1:32" ht="15.75">
      <c r="A1002" s="9"/>
      <c r="B1002" s="10"/>
      <c r="C1002" s="9"/>
      <c r="D1002" s="9"/>
      <c r="E1002" s="9"/>
      <c r="F1002" s="9"/>
      <c r="G1002" s="12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</row>
    <row r="1003" spans="1:32" ht="15.75">
      <c r="A1003" s="9"/>
      <c r="B1003" s="10"/>
      <c r="C1003" s="9"/>
      <c r="D1003" s="9"/>
      <c r="E1003" s="9"/>
      <c r="F1003" s="9"/>
      <c r="G1003" s="12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</row>
    <row r="1004" spans="1:32" ht="15.75">
      <c r="A1004" s="9"/>
      <c r="B1004" s="10"/>
      <c r="C1004" s="9"/>
      <c r="D1004" s="9"/>
      <c r="E1004" s="9"/>
      <c r="F1004" s="9"/>
      <c r="G1004" s="12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</row>
    <row r="1005" spans="1:32" ht="15.75">
      <c r="A1005" s="9"/>
      <c r="B1005" s="10"/>
      <c r="C1005" s="9"/>
      <c r="D1005" s="9"/>
      <c r="E1005" s="9"/>
      <c r="F1005" s="9"/>
      <c r="G1005" s="12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</row>
    <row r="1006" spans="1:32" ht="15.75">
      <c r="A1006" s="9"/>
      <c r="B1006" s="10"/>
      <c r="C1006" s="9"/>
      <c r="D1006" s="9"/>
      <c r="E1006" s="9"/>
      <c r="F1006" s="9"/>
      <c r="G1006" s="12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</row>
    <row r="1007" spans="1:32" ht="15.75">
      <c r="A1007" s="9"/>
      <c r="B1007" s="10"/>
      <c r="C1007" s="9"/>
      <c r="D1007" s="9"/>
      <c r="E1007" s="9"/>
      <c r="F1007" s="9"/>
      <c r="G1007" s="12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</row>
    <row r="1008" spans="1:32" ht="15.75">
      <c r="A1008" s="9"/>
      <c r="B1008" s="10"/>
      <c r="C1008" s="9"/>
      <c r="D1008" s="9"/>
      <c r="E1008" s="9"/>
      <c r="F1008" s="9"/>
      <c r="G1008" s="12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</row>
    <row r="1009" spans="1:32" ht="15.75">
      <c r="A1009" s="9"/>
      <c r="B1009" s="10"/>
      <c r="C1009" s="9"/>
      <c r="D1009" s="9"/>
      <c r="E1009" s="9"/>
      <c r="F1009" s="9"/>
      <c r="G1009" s="12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</row>
    <row r="1010" spans="1:32" ht="15.75">
      <c r="A1010" s="9"/>
      <c r="B1010" s="10"/>
      <c r="C1010" s="9"/>
      <c r="D1010" s="9"/>
      <c r="E1010" s="9"/>
      <c r="F1010" s="9"/>
      <c r="G1010" s="12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</row>
    <row r="1011" spans="1:32" ht="15.75">
      <c r="A1011" s="9"/>
      <c r="B1011" s="10"/>
      <c r="C1011" s="9"/>
      <c r="D1011" s="9"/>
      <c r="E1011" s="9"/>
      <c r="F1011" s="9"/>
      <c r="G1011" s="12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</row>
    <row r="1012" spans="1:32" ht="15.75">
      <c r="A1012" s="9"/>
      <c r="B1012" s="10"/>
      <c r="C1012" s="9"/>
      <c r="D1012" s="9"/>
      <c r="E1012" s="9"/>
      <c r="F1012" s="9"/>
      <c r="G1012" s="12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</row>
    <row r="1013" spans="1:32" ht="15.75">
      <c r="A1013" s="9"/>
      <c r="B1013" s="10"/>
      <c r="C1013" s="9"/>
      <c r="D1013" s="9"/>
      <c r="E1013" s="9"/>
      <c r="F1013" s="9"/>
      <c r="G1013" s="12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</row>
    <row r="1014" spans="1:32" ht="15.75">
      <c r="A1014" s="9"/>
      <c r="B1014" s="10"/>
      <c r="C1014" s="9"/>
      <c r="D1014" s="9"/>
      <c r="E1014" s="9"/>
      <c r="F1014" s="9"/>
      <c r="G1014" s="12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</row>
    <row r="1015" spans="1:32" ht="15.75">
      <c r="A1015" s="9"/>
      <c r="B1015" s="10"/>
      <c r="C1015" s="9"/>
      <c r="D1015" s="9"/>
      <c r="E1015" s="9"/>
      <c r="F1015" s="9"/>
      <c r="G1015" s="12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</row>
    <row r="1016" spans="1:32" ht="15.75">
      <c r="A1016" s="9"/>
      <c r="B1016" s="10"/>
      <c r="C1016" s="9"/>
      <c r="D1016" s="9"/>
      <c r="E1016" s="9"/>
      <c r="F1016" s="9"/>
      <c r="G1016" s="12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</row>
    <row r="1017" spans="1:32" ht="15.75">
      <c r="A1017" s="9"/>
      <c r="B1017" s="10"/>
      <c r="C1017" s="9"/>
      <c r="D1017" s="9"/>
      <c r="E1017" s="9"/>
      <c r="F1017" s="9"/>
      <c r="G1017" s="12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</row>
    <row r="1018" spans="1:32" ht="15.75">
      <c r="A1018" s="9"/>
      <c r="B1018" s="10"/>
      <c r="C1018" s="9"/>
      <c r="D1018" s="9"/>
      <c r="E1018" s="9"/>
      <c r="F1018" s="9"/>
      <c r="G1018" s="12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</row>
    <row r="1019" spans="1:32" ht="15.75">
      <c r="A1019" s="9"/>
      <c r="B1019" s="10"/>
      <c r="C1019" s="9"/>
      <c r="D1019" s="9"/>
      <c r="E1019" s="9"/>
      <c r="F1019" s="9"/>
      <c r="G1019" s="12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</row>
    <row r="1020" spans="1:32" ht="15.75">
      <c r="A1020" s="9"/>
      <c r="B1020" s="10"/>
      <c r="C1020" s="9"/>
      <c r="D1020" s="9"/>
      <c r="E1020" s="9"/>
      <c r="F1020" s="9"/>
      <c r="G1020" s="12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</row>
    <row r="1021" spans="1:32" ht="15.75">
      <c r="A1021" s="9"/>
      <c r="B1021" s="10"/>
      <c r="C1021" s="9"/>
      <c r="D1021" s="9"/>
      <c r="E1021" s="9"/>
      <c r="F1021" s="9"/>
      <c r="G1021" s="12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</row>
    <row r="1022" spans="1:32" ht="15.75">
      <c r="A1022" s="9"/>
      <c r="B1022" s="10"/>
      <c r="C1022" s="9"/>
      <c r="D1022" s="9"/>
      <c r="E1022" s="9"/>
      <c r="F1022" s="9"/>
      <c r="G1022" s="12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</row>
    <row r="1023" spans="1:32" ht="15.75">
      <c r="A1023" s="9"/>
      <c r="B1023" s="10"/>
      <c r="C1023" s="9"/>
      <c r="D1023" s="9"/>
      <c r="E1023" s="9"/>
      <c r="F1023" s="9"/>
      <c r="G1023" s="12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</row>
    <row r="1024" spans="1:32" ht="15.75">
      <c r="A1024" s="9"/>
      <c r="B1024" s="10"/>
      <c r="C1024" s="9"/>
      <c r="D1024" s="9"/>
      <c r="E1024" s="9"/>
      <c r="F1024" s="9"/>
      <c r="G1024" s="12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</row>
    <row r="1025" spans="1:32" ht="15.75">
      <c r="A1025" s="9"/>
      <c r="B1025" s="10"/>
      <c r="C1025" s="9"/>
      <c r="D1025" s="9"/>
      <c r="E1025" s="9"/>
      <c r="F1025" s="9"/>
      <c r="G1025" s="12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</row>
    <row r="1026" spans="1:32" ht="15.75">
      <c r="A1026" s="9"/>
      <c r="B1026" s="10"/>
      <c r="C1026" s="9"/>
      <c r="D1026" s="9"/>
      <c r="E1026" s="9"/>
      <c r="F1026" s="9"/>
      <c r="G1026" s="12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</row>
    <row r="1027" spans="1:32" ht="15.75">
      <c r="A1027" s="9"/>
      <c r="B1027" s="10"/>
      <c r="C1027" s="9"/>
      <c r="D1027" s="9"/>
      <c r="E1027" s="9"/>
      <c r="F1027" s="9"/>
      <c r="G1027" s="12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</row>
    <row r="1028" spans="1:32" ht="15.75">
      <c r="A1028" s="9"/>
      <c r="B1028" s="10"/>
      <c r="C1028" s="9"/>
      <c r="D1028" s="9"/>
      <c r="E1028" s="9"/>
      <c r="F1028" s="9"/>
      <c r="G1028" s="12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</row>
    <row r="1029" spans="1:32" ht="15.75">
      <c r="A1029" s="9"/>
      <c r="B1029" s="10"/>
      <c r="C1029" s="9"/>
      <c r="D1029" s="9"/>
      <c r="E1029" s="9"/>
      <c r="F1029" s="9"/>
      <c r="G1029" s="12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</row>
    <row r="1030" spans="1:32" ht="15.75">
      <c r="A1030" s="9"/>
      <c r="B1030" s="10"/>
      <c r="C1030" s="9"/>
      <c r="D1030" s="9"/>
      <c r="E1030" s="9"/>
      <c r="F1030" s="9"/>
      <c r="G1030" s="12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</row>
    <row r="1031" spans="1:32" ht="15.75">
      <c r="A1031" s="9"/>
      <c r="B1031" s="10"/>
      <c r="C1031" s="9"/>
      <c r="D1031" s="9"/>
      <c r="E1031" s="9"/>
      <c r="F1031" s="9"/>
      <c r="G1031" s="12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</row>
    <row r="1032" spans="1:32" ht="15.75">
      <c r="A1032" s="9"/>
      <c r="B1032" s="10"/>
      <c r="C1032" s="9"/>
      <c r="D1032" s="9"/>
      <c r="E1032" s="9"/>
      <c r="F1032" s="9"/>
      <c r="G1032" s="12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</row>
    <row r="1033" spans="1:32" ht="15.75">
      <c r="A1033" s="9"/>
      <c r="B1033" s="10"/>
      <c r="C1033" s="9"/>
      <c r="D1033" s="9"/>
      <c r="E1033" s="9"/>
      <c r="F1033" s="9"/>
      <c r="G1033" s="12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</row>
    <row r="1034" spans="1:32" ht="15.75">
      <c r="A1034" s="9"/>
      <c r="B1034" s="10"/>
      <c r="C1034" s="9"/>
      <c r="D1034" s="9"/>
      <c r="E1034" s="9"/>
      <c r="F1034" s="9"/>
      <c r="G1034" s="12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</row>
    <row r="1035" spans="1:32" ht="15.75">
      <c r="A1035" s="9"/>
      <c r="B1035" s="10"/>
      <c r="C1035" s="9"/>
      <c r="D1035" s="9"/>
      <c r="E1035" s="9"/>
      <c r="F1035" s="9"/>
      <c r="G1035" s="12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</row>
    <row r="1036" spans="1:32" ht="15.75">
      <c r="A1036" s="9"/>
      <c r="B1036" s="10"/>
      <c r="C1036" s="9"/>
      <c r="D1036" s="9"/>
      <c r="E1036" s="9"/>
      <c r="F1036" s="9"/>
      <c r="G1036" s="12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</row>
    <row r="1037" spans="1:32" ht="15.75">
      <c r="A1037" s="9"/>
      <c r="B1037" s="10"/>
      <c r="C1037" s="9"/>
      <c r="D1037" s="9"/>
      <c r="E1037" s="9"/>
      <c r="F1037" s="9"/>
      <c r="G1037" s="12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</row>
    <row r="1038" spans="1:32" ht="15.75">
      <c r="A1038" s="9"/>
      <c r="B1038" s="10"/>
      <c r="C1038" s="9"/>
      <c r="D1038" s="9"/>
      <c r="E1038" s="9"/>
      <c r="F1038" s="9"/>
      <c r="G1038" s="12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</row>
    <row r="1039" spans="1:32" ht="15.75">
      <c r="A1039" s="9"/>
      <c r="B1039" s="10"/>
      <c r="C1039" s="9"/>
      <c r="D1039" s="9"/>
      <c r="E1039" s="9"/>
      <c r="F1039" s="9"/>
      <c r="G1039" s="12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</row>
    <row r="1040" spans="1:32" ht="15.75">
      <c r="A1040" s="9"/>
      <c r="B1040" s="10"/>
      <c r="C1040" s="9"/>
      <c r="D1040" s="9"/>
      <c r="E1040" s="9"/>
      <c r="F1040" s="9"/>
      <c r="G1040" s="12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</row>
    <row r="1041" spans="1:32" ht="15.75">
      <c r="A1041" s="9"/>
      <c r="B1041" s="10"/>
      <c r="C1041" s="9"/>
      <c r="D1041" s="9"/>
      <c r="E1041" s="9"/>
      <c r="F1041" s="9"/>
      <c r="G1041" s="12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</row>
  </sheetData>
  <autoFilter ref="A1:K184" xr:uid="{00000000-0009-0000-0000-000000000000}"/>
  <conditionalFormatting sqref="J2:J159 J168:J171">
    <cfRule type="notContainsBlanks" priority="1">
      <formula>LEN(TRIM(J2))&gt;0</formula>
    </cfRule>
  </conditionalFormatting>
  <dataValidations count="2">
    <dataValidation type="list" errorStyle="warning" allowBlank="1" showErrorMessage="1" sqref="J213:J311 J172:J194 J160:J167" xr:uid="{49429BF4-4145-4492-AC7E-F78019634495}">
      <formula1>"Bán,Quà Tặng,Cả bán và tặng"</formula1>
    </dataValidation>
    <dataValidation type="list" errorStyle="warning" allowBlank="1" showErrorMessage="1" sqref="J168:J171 J2:J159" xr:uid="{1E7E8A18-2166-4C7F-8B2A-5F032FAB8CCC}">
      <formula1>"Bán,Quà tặng,Cả bán và tặng"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thu hồi</vt:lpstr>
      <vt:lpstr>Report</vt:lpstr>
      <vt:lpstr>Dang_le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</dc:creator>
  <cp:lastModifiedBy>OQR</cp:lastModifiedBy>
  <dcterms:created xsi:type="dcterms:W3CDTF">2025-09-30T10:36:59Z</dcterms:created>
  <dcterms:modified xsi:type="dcterms:W3CDTF">2026-03-25T07:18:15Z</dcterms:modified>
</cp:coreProperties>
</file>